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mi\OneDrive\Desktop\"/>
    </mc:Choice>
  </mc:AlternateContent>
  <xr:revisionPtr revIDLastSave="0" documentId="8_{0157EE6C-F553-4A52-B21B-7C44E728079E}" xr6:coauthVersionLast="47" xr6:coauthVersionMax="47" xr10:uidLastSave="{00000000-0000-0000-0000-000000000000}"/>
  <bookViews>
    <workbookView xWindow="-108" yWindow="-108" windowWidth="23256" windowHeight="12456" activeTab="1" xr2:uid="{4D0B44A4-F110-4E9F-BA4D-6DCF2B9E46D4}"/>
  </bookViews>
  <sheets>
    <sheet name="urbanthreads_q4" sheetId="1" r:id="rId1"/>
    <sheet name="Validation_Summary" sheetId="2" r:id="rId2"/>
  </sheets>
  <definedNames>
    <definedName name="_xlnm._FilterDatabase" localSheetId="0" hidden="1">urbanthreads_q4!$A$1:$AF$347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2" l="1"/>
  <c r="D4" i="2"/>
  <c r="D11" i="2"/>
  <c r="D12" i="2"/>
  <c r="D13" i="2"/>
  <c r="D15" i="2"/>
  <c r="D10" i="2"/>
  <c r="D9" i="2"/>
  <c r="D8" i="2"/>
  <c r="D7" i="2"/>
  <c r="D6" i="2"/>
  <c r="D5" i="2"/>
  <c r="D3" i="2"/>
  <c r="D2" i="2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144" i="1"/>
  <c r="AE110" i="1"/>
  <c r="AE168" i="1"/>
  <c r="AE60" i="1"/>
  <c r="AE77" i="1"/>
  <c r="AE13" i="1"/>
  <c r="AE47" i="1"/>
  <c r="AE133" i="1"/>
  <c r="AE52" i="1"/>
  <c r="AE6" i="1"/>
  <c r="AE91" i="1"/>
  <c r="AE25" i="1"/>
  <c r="AE162" i="1"/>
  <c r="AE26" i="1"/>
  <c r="AE97" i="1"/>
  <c r="AE156" i="1"/>
  <c r="AE69" i="1"/>
  <c r="AE98" i="1"/>
  <c r="AE150" i="1"/>
  <c r="AE53" i="1"/>
  <c r="AE36" i="1"/>
  <c r="AE115" i="1"/>
  <c r="AE84" i="1"/>
  <c r="AE137" i="1"/>
  <c r="AE104" i="1"/>
  <c r="AE128" i="1"/>
  <c r="AE180" i="1"/>
  <c r="AE174" i="1"/>
  <c r="AE32" i="1"/>
  <c r="AE45" i="1"/>
  <c r="AE160" i="1"/>
  <c r="AE5" i="1"/>
  <c r="AE42" i="1"/>
  <c r="AE93" i="1"/>
  <c r="AE16" i="1"/>
  <c r="AE116" i="1"/>
  <c r="AE145" i="1"/>
  <c r="AE80" i="1"/>
  <c r="AE64" i="1"/>
  <c r="AE135" i="1"/>
  <c r="AE132" i="1"/>
  <c r="AE96" i="1"/>
  <c r="AE151" i="1"/>
  <c r="AE54" i="1"/>
  <c r="AE37" i="1"/>
  <c r="AE99" i="1"/>
  <c r="AE85" i="1"/>
  <c r="AE23" i="1"/>
  <c r="AE2" i="1"/>
  <c r="AE158" i="1"/>
  <c r="AE163" i="1"/>
  <c r="AE8" i="1"/>
  <c r="AE117" i="1"/>
  <c r="AE107" i="1"/>
  <c r="AE148" i="1"/>
  <c r="AE35" i="1"/>
  <c r="AE119" i="1"/>
  <c r="AE14" i="1"/>
  <c r="AE142" i="1"/>
  <c r="AE111" i="1"/>
  <c r="AE61" i="1"/>
  <c r="AE121" i="1"/>
  <c r="AE28" i="1"/>
  <c r="AE170" i="1"/>
  <c r="AE65" i="1"/>
  <c r="AE29" i="1"/>
  <c r="AE70" i="1"/>
  <c r="AE50" i="1"/>
  <c r="AE17" i="1"/>
  <c r="AE48" i="1"/>
  <c r="AE79" i="1"/>
  <c r="AE154" i="1"/>
  <c r="AE43" i="1"/>
  <c r="AE15" i="1"/>
  <c r="AE100" i="1"/>
  <c r="AE122" i="1"/>
  <c r="AE57" i="1"/>
  <c r="AE21" i="1"/>
  <c r="AE89" i="1"/>
  <c r="AE74" i="1"/>
  <c r="AE46" i="1"/>
  <c r="AE139" i="1"/>
  <c r="AE166" i="1"/>
  <c r="AE126" i="1"/>
  <c r="AE94" i="1"/>
  <c r="AE9" i="1"/>
  <c r="AE44" i="1"/>
  <c r="AE123" i="1"/>
  <c r="AE67" i="1"/>
  <c r="AE81" i="1"/>
  <c r="AE24" i="1"/>
  <c r="AE176" i="1"/>
  <c r="AE178" i="1"/>
  <c r="AE181" i="1"/>
  <c r="AE172" i="1"/>
  <c r="AE49" i="1"/>
  <c r="AE33" i="1"/>
  <c r="AE102" i="1"/>
  <c r="AE4" i="1"/>
  <c r="AE62" i="1"/>
  <c r="AE20" i="1"/>
  <c r="AE82" i="1"/>
  <c r="AE129" i="1"/>
  <c r="AE31" i="1"/>
  <c r="AE34" i="1"/>
  <c r="AE157" i="1"/>
  <c r="AE164" i="1"/>
  <c r="AE51" i="1"/>
  <c r="AE39" i="1"/>
  <c r="AE83" i="1"/>
  <c r="AE134" i="1"/>
  <c r="AE11" i="1"/>
  <c r="AE138" i="1"/>
  <c r="AE75" i="1"/>
  <c r="AE71" i="1"/>
  <c r="AE95" i="1"/>
  <c r="AE169" i="1"/>
  <c r="AE10" i="1"/>
  <c r="AE63" i="1"/>
  <c r="AE146" i="1"/>
  <c r="AE114" i="1"/>
  <c r="AE120" i="1"/>
  <c r="AE105" i="1"/>
  <c r="AE152" i="1"/>
  <c r="AE124" i="1"/>
  <c r="AE103" i="1"/>
  <c r="AE175" i="1"/>
  <c r="AE72" i="1"/>
  <c r="AE149" i="1"/>
  <c r="AE86" i="1"/>
  <c r="AE167" i="1"/>
  <c r="AE125" i="1"/>
  <c r="AE106" i="1"/>
  <c r="AE112" i="1"/>
  <c r="AE92" i="1"/>
  <c r="AE140" i="1"/>
  <c r="AE40" i="1"/>
  <c r="AE55" i="1"/>
  <c r="AE143" i="1"/>
  <c r="AE30" i="1"/>
  <c r="AE161" i="1"/>
  <c r="AE155" i="1"/>
  <c r="AE66" i="1"/>
  <c r="AE127" i="1"/>
  <c r="AE7" i="1"/>
  <c r="AE18" i="1"/>
  <c r="AE131" i="1"/>
  <c r="AE78" i="1"/>
  <c r="AE58" i="1"/>
  <c r="AE179" i="1"/>
  <c r="AE173" i="1"/>
  <c r="AE19" i="1"/>
  <c r="AE113" i="1"/>
  <c r="AE118" i="1"/>
  <c r="AE59" i="1"/>
  <c r="AE159" i="1"/>
  <c r="AE73" i="1"/>
  <c r="AE101" i="1"/>
  <c r="AE141" i="1"/>
  <c r="AE147" i="1"/>
  <c r="AE90" i="1"/>
  <c r="AE76" i="1"/>
  <c r="AE3" i="1"/>
  <c r="AE130" i="1"/>
  <c r="AE108" i="1"/>
  <c r="AE12" i="1"/>
  <c r="AE153" i="1"/>
  <c r="AE88" i="1"/>
  <c r="AE109" i="1"/>
  <c r="AE27" i="1"/>
  <c r="AE56" i="1"/>
  <c r="AE136" i="1"/>
  <c r="AE165" i="1"/>
  <c r="AE38" i="1"/>
  <c r="AE171" i="1"/>
  <c r="AE68" i="1"/>
  <c r="AE87" i="1"/>
  <c r="AE22" i="1"/>
  <c r="AE41" i="1"/>
  <c r="AE177" i="1"/>
  <c r="AE182" i="1"/>
  <c r="X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144" i="1"/>
  <c r="AC110" i="1"/>
  <c r="AC168" i="1"/>
  <c r="AC60" i="1"/>
  <c r="AC77" i="1"/>
  <c r="AC13" i="1"/>
  <c r="AC47" i="1"/>
  <c r="AC133" i="1"/>
  <c r="AC52" i="1"/>
  <c r="AC6" i="1"/>
  <c r="AC91" i="1"/>
  <c r="AC25" i="1"/>
  <c r="AC162" i="1"/>
  <c r="AC26" i="1"/>
  <c r="AC97" i="1"/>
  <c r="AC156" i="1"/>
  <c r="AC69" i="1"/>
  <c r="AC98" i="1"/>
  <c r="AC150" i="1"/>
  <c r="AC53" i="1"/>
  <c r="AC36" i="1"/>
  <c r="AC115" i="1"/>
  <c r="AC84" i="1"/>
  <c r="AC137" i="1"/>
  <c r="AC104" i="1"/>
  <c r="AC128" i="1"/>
  <c r="AC180" i="1"/>
  <c r="AC174" i="1"/>
  <c r="AC32" i="1"/>
  <c r="AC45" i="1"/>
  <c r="AC160" i="1"/>
  <c r="AC5" i="1"/>
  <c r="AC42" i="1"/>
  <c r="AC93" i="1"/>
  <c r="AC16" i="1"/>
  <c r="AC116" i="1"/>
  <c r="AC145" i="1"/>
  <c r="AC80" i="1"/>
  <c r="AC64" i="1"/>
  <c r="AC135" i="1"/>
  <c r="AC132" i="1"/>
  <c r="AC96" i="1"/>
  <c r="AC151" i="1"/>
  <c r="AC54" i="1"/>
  <c r="AC37" i="1"/>
  <c r="AC99" i="1"/>
  <c r="AC85" i="1"/>
  <c r="AC23" i="1"/>
  <c r="AC2" i="1"/>
  <c r="AC158" i="1"/>
  <c r="AC163" i="1"/>
  <c r="AC8" i="1"/>
  <c r="AC117" i="1"/>
  <c r="AC107" i="1"/>
  <c r="AC148" i="1"/>
  <c r="AC35" i="1"/>
  <c r="AC119" i="1"/>
  <c r="AC14" i="1"/>
  <c r="AC142" i="1"/>
  <c r="AC111" i="1"/>
  <c r="AC61" i="1"/>
  <c r="AC121" i="1"/>
  <c r="AC28" i="1"/>
  <c r="AC170" i="1"/>
  <c r="AC65" i="1"/>
  <c r="AC29" i="1"/>
  <c r="AC70" i="1"/>
  <c r="AC50" i="1"/>
  <c r="AC17" i="1"/>
  <c r="AC48" i="1"/>
  <c r="AC79" i="1"/>
  <c r="AC154" i="1"/>
  <c r="AC43" i="1"/>
  <c r="AC15" i="1"/>
  <c r="AC100" i="1"/>
  <c r="AC122" i="1"/>
  <c r="AC57" i="1"/>
  <c r="AC21" i="1"/>
  <c r="AC89" i="1"/>
  <c r="AC74" i="1"/>
  <c r="AC46" i="1"/>
  <c r="AC139" i="1"/>
  <c r="AC166" i="1"/>
  <c r="AC126" i="1"/>
  <c r="AC94" i="1"/>
  <c r="AC9" i="1"/>
  <c r="AC44" i="1"/>
  <c r="AC123" i="1"/>
  <c r="AC67" i="1"/>
  <c r="AC81" i="1"/>
  <c r="AC24" i="1"/>
  <c r="AC176" i="1"/>
  <c r="AC178" i="1"/>
  <c r="AC181" i="1"/>
  <c r="AC172" i="1"/>
  <c r="AC49" i="1"/>
  <c r="AC33" i="1"/>
  <c r="AC102" i="1"/>
  <c r="AC4" i="1"/>
  <c r="AC62" i="1"/>
  <c r="AC20" i="1"/>
  <c r="AC82" i="1"/>
  <c r="AC129" i="1"/>
  <c r="AC31" i="1"/>
  <c r="AC34" i="1"/>
  <c r="AC157" i="1"/>
  <c r="AC164" i="1"/>
  <c r="AC51" i="1"/>
  <c r="AC39" i="1"/>
  <c r="AC83" i="1"/>
  <c r="AC134" i="1"/>
  <c r="AC11" i="1"/>
  <c r="AC138" i="1"/>
  <c r="AC75" i="1"/>
  <c r="AC71" i="1"/>
  <c r="AC95" i="1"/>
  <c r="AC169" i="1"/>
  <c r="AC10" i="1"/>
  <c r="AC63" i="1"/>
  <c r="AC146" i="1"/>
  <c r="AC114" i="1"/>
  <c r="AC120" i="1"/>
  <c r="AC105" i="1"/>
  <c r="AC152" i="1"/>
  <c r="AC124" i="1"/>
  <c r="AC103" i="1"/>
  <c r="AC175" i="1"/>
  <c r="AC72" i="1"/>
  <c r="AC149" i="1"/>
  <c r="AC86" i="1"/>
  <c r="AC167" i="1"/>
  <c r="AC125" i="1"/>
  <c r="AC106" i="1"/>
  <c r="AC112" i="1"/>
  <c r="AC92" i="1"/>
  <c r="AC140" i="1"/>
  <c r="AC40" i="1"/>
  <c r="AC55" i="1"/>
  <c r="AC143" i="1"/>
  <c r="AC30" i="1"/>
  <c r="AC161" i="1"/>
  <c r="AC155" i="1"/>
  <c r="AC66" i="1"/>
  <c r="AC127" i="1"/>
  <c r="AC7" i="1"/>
  <c r="AC18" i="1"/>
  <c r="AC131" i="1"/>
  <c r="AC78" i="1"/>
  <c r="AC58" i="1"/>
  <c r="AC179" i="1"/>
  <c r="AC173" i="1"/>
  <c r="AC19" i="1"/>
  <c r="AC113" i="1"/>
  <c r="AC118" i="1"/>
  <c r="AC59" i="1"/>
  <c r="AC159" i="1"/>
  <c r="AC73" i="1"/>
  <c r="AC101" i="1"/>
  <c r="AC141" i="1"/>
  <c r="AC147" i="1"/>
  <c r="AC90" i="1"/>
  <c r="AC76" i="1"/>
  <c r="AC3" i="1"/>
  <c r="AC130" i="1"/>
  <c r="AC108" i="1"/>
  <c r="AC12" i="1"/>
  <c r="AC153" i="1"/>
  <c r="AC88" i="1"/>
  <c r="AC109" i="1"/>
  <c r="AC27" i="1"/>
  <c r="AC56" i="1"/>
  <c r="AC136" i="1"/>
  <c r="AC165" i="1"/>
  <c r="AC38" i="1"/>
  <c r="AC171" i="1"/>
  <c r="AC68" i="1"/>
  <c r="AC87" i="1"/>
  <c r="AC22" i="1"/>
  <c r="AC41" i="1"/>
  <c r="AC177" i="1"/>
  <c r="AC182" i="1"/>
  <c r="Z19" i="1"/>
  <c r="Z113" i="1"/>
  <c r="Z118" i="1"/>
  <c r="Z59" i="1"/>
  <c r="Z159" i="1"/>
  <c r="Z73" i="1"/>
  <c r="Z101" i="1"/>
  <c r="Z141" i="1"/>
  <c r="Z147" i="1"/>
  <c r="Z90" i="1"/>
  <c r="Z76" i="1"/>
  <c r="Z3" i="1"/>
  <c r="Z130" i="1"/>
  <c r="Z108" i="1"/>
  <c r="Z12" i="1"/>
  <c r="Z153" i="1"/>
  <c r="Z88" i="1"/>
  <c r="Z109" i="1"/>
  <c r="Z27" i="1"/>
  <c r="Z56" i="1"/>
  <c r="Z136" i="1"/>
  <c r="Z165" i="1"/>
  <c r="Z38" i="1"/>
  <c r="Z171" i="1"/>
  <c r="Z68" i="1"/>
  <c r="Z87" i="1"/>
  <c r="Z22" i="1"/>
  <c r="Z41" i="1"/>
  <c r="Z72" i="1"/>
  <c r="Z149" i="1"/>
  <c r="Z86" i="1"/>
  <c r="Z167" i="1"/>
  <c r="Z125" i="1"/>
  <c r="Z106" i="1"/>
  <c r="Z112" i="1"/>
  <c r="Z92" i="1"/>
  <c r="Z140" i="1"/>
  <c r="Z40" i="1"/>
  <c r="Z55" i="1"/>
  <c r="Z143" i="1"/>
  <c r="Z30" i="1"/>
  <c r="Z161" i="1"/>
  <c r="Z155" i="1"/>
  <c r="Z66" i="1"/>
  <c r="Z127" i="1"/>
  <c r="Z7" i="1"/>
  <c r="Z18" i="1"/>
  <c r="Z131" i="1"/>
  <c r="Z78" i="1"/>
  <c r="Z58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49" i="1"/>
  <c r="Z33" i="1"/>
  <c r="Z102" i="1"/>
  <c r="Z4" i="1"/>
  <c r="Z62" i="1"/>
  <c r="Z20" i="1"/>
  <c r="Z82" i="1"/>
  <c r="Z129" i="1"/>
  <c r="Z31" i="1"/>
  <c r="Z34" i="1"/>
  <c r="Z157" i="1"/>
  <c r="Z164" i="1"/>
  <c r="Z51" i="1"/>
  <c r="Z39" i="1"/>
  <c r="Z83" i="1"/>
  <c r="Z134" i="1"/>
  <c r="Z11" i="1"/>
  <c r="Z138" i="1"/>
  <c r="Z75" i="1"/>
  <c r="Z71" i="1"/>
  <c r="Z95" i="1"/>
  <c r="Z169" i="1"/>
  <c r="Z10" i="1"/>
  <c r="Z63" i="1"/>
  <c r="Z146" i="1"/>
  <c r="Z114" i="1"/>
  <c r="Z120" i="1"/>
  <c r="Z105" i="1"/>
  <c r="Z152" i="1"/>
  <c r="Z124" i="1"/>
  <c r="Z103" i="1"/>
  <c r="Z32" i="1"/>
  <c r="Z45" i="1"/>
  <c r="Z160" i="1"/>
  <c r="Z5" i="1"/>
  <c r="Z42" i="1"/>
  <c r="Z93" i="1"/>
  <c r="Z16" i="1"/>
  <c r="Z116" i="1"/>
  <c r="Z145" i="1"/>
  <c r="Z80" i="1"/>
  <c r="Z64" i="1"/>
  <c r="Z135" i="1"/>
  <c r="Z132" i="1"/>
  <c r="Z96" i="1"/>
  <c r="Z151" i="1"/>
  <c r="Z54" i="1"/>
  <c r="Z37" i="1"/>
  <c r="Z99" i="1"/>
  <c r="Z85" i="1"/>
  <c r="Z23" i="1"/>
  <c r="Z2" i="1"/>
  <c r="Z158" i="1"/>
  <c r="Z163" i="1"/>
  <c r="Z8" i="1"/>
  <c r="Z117" i="1"/>
  <c r="Z107" i="1"/>
  <c r="Z148" i="1"/>
  <c r="Z35" i="1"/>
  <c r="Z119" i="1"/>
  <c r="Z14" i="1"/>
  <c r="Z142" i="1"/>
  <c r="Z111" i="1"/>
  <c r="Z61" i="1"/>
  <c r="Z121" i="1"/>
  <c r="Z28" i="1"/>
  <c r="Z170" i="1"/>
  <c r="Z65" i="1"/>
  <c r="Z29" i="1"/>
  <c r="Z70" i="1"/>
  <c r="Z50" i="1"/>
  <c r="Z17" i="1"/>
  <c r="Z48" i="1"/>
  <c r="Z79" i="1"/>
  <c r="Z154" i="1"/>
  <c r="Z43" i="1"/>
  <c r="Z15" i="1"/>
  <c r="Z100" i="1"/>
  <c r="Z122" i="1"/>
  <c r="Z57" i="1"/>
  <c r="Z21" i="1"/>
  <c r="Z89" i="1"/>
  <c r="Z74" i="1"/>
  <c r="Z46" i="1"/>
  <c r="Z139" i="1"/>
  <c r="Z166" i="1"/>
  <c r="Z126" i="1"/>
  <c r="Z94" i="1"/>
  <c r="Z9" i="1"/>
  <c r="Z44" i="1"/>
  <c r="Z123" i="1"/>
  <c r="Z67" i="1"/>
  <c r="Z81" i="1"/>
  <c r="Z24" i="1"/>
  <c r="Z144" i="1"/>
  <c r="Z110" i="1"/>
  <c r="Z168" i="1"/>
  <c r="Z60" i="1"/>
  <c r="Z77" i="1"/>
  <c r="Z13" i="1"/>
  <c r="Z47" i="1"/>
  <c r="Z133" i="1"/>
  <c r="Z52" i="1"/>
  <c r="Z6" i="1"/>
  <c r="Z91" i="1"/>
  <c r="Z25" i="1"/>
  <c r="Z162" i="1"/>
  <c r="Z26" i="1"/>
  <c r="Z97" i="1"/>
  <c r="Z156" i="1"/>
  <c r="Z69" i="1"/>
  <c r="Z98" i="1"/>
  <c r="Z150" i="1"/>
  <c r="Z53" i="1"/>
  <c r="Z36" i="1"/>
  <c r="Z115" i="1"/>
  <c r="Z84" i="1"/>
  <c r="Z137" i="1"/>
  <c r="Z104" i="1"/>
  <c r="Z128" i="1"/>
  <c r="Z177" i="1"/>
  <c r="Z179" i="1"/>
  <c r="Z173" i="1"/>
  <c r="Z341" i="1"/>
  <c r="Z342" i="1"/>
  <c r="Z343" i="1"/>
  <c r="Z344" i="1"/>
  <c r="Z345" i="1"/>
  <c r="Z346" i="1"/>
  <c r="Z347" i="1"/>
  <c r="Z175" i="1"/>
  <c r="Z176" i="1"/>
  <c r="Z178" i="1"/>
  <c r="Z181" i="1"/>
  <c r="Z172" i="1"/>
  <c r="Z180" i="1"/>
  <c r="Z174" i="1"/>
  <c r="Z182" i="1"/>
  <c r="X19" i="1"/>
  <c r="X113" i="1"/>
  <c r="X118" i="1"/>
  <c r="X59" i="1"/>
  <c r="X159" i="1"/>
  <c r="X73" i="1"/>
  <c r="X101" i="1"/>
  <c r="X141" i="1"/>
  <c r="X147" i="1"/>
  <c r="X90" i="1"/>
  <c r="X76" i="1"/>
  <c r="X3" i="1"/>
  <c r="X130" i="1"/>
  <c r="X108" i="1"/>
  <c r="X12" i="1"/>
  <c r="X153" i="1"/>
  <c r="X88" i="1"/>
  <c r="X109" i="1"/>
  <c r="X27" i="1"/>
  <c r="X56" i="1"/>
  <c r="X136" i="1"/>
  <c r="X165" i="1"/>
  <c r="X38" i="1"/>
  <c r="X171" i="1"/>
  <c r="X68" i="1"/>
  <c r="X87" i="1"/>
  <c r="X22" i="1"/>
  <c r="X41" i="1"/>
  <c r="X177" i="1"/>
  <c r="X72" i="1"/>
  <c r="X149" i="1"/>
  <c r="X86" i="1"/>
  <c r="X167" i="1"/>
  <c r="X125" i="1"/>
  <c r="X106" i="1"/>
  <c r="X112" i="1"/>
  <c r="X92" i="1"/>
  <c r="X140" i="1"/>
  <c r="X40" i="1"/>
  <c r="X55" i="1"/>
  <c r="X143" i="1"/>
  <c r="X30" i="1"/>
  <c r="X161" i="1"/>
  <c r="X155" i="1"/>
  <c r="X66" i="1"/>
  <c r="X127" i="1"/>
  <c r="X7" i="1"/>
  <c r="X18" i="1"/>
  <c r="X131" i="1"/>
  <c r="X78" i="1"/>
  <c r="X58" i="1"/>
  <c r="X179" i="1"/>
  <c r="X173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49" i="1"/>
  <c r="X33" i="1"/>
  <c r="X102" i="1"/>
  <c r="X4" i="1"/>
  <c r="X62" i="1"/>
  <c r="X20" i="1"/>
  <c r="X82" i="1"/>
  <c r="X129" i="1"/>
  <c r="X31" i="1"/>
  <c r="X34" i="1"/>
  <c r="X157" i="1"/>
  <c r="X164" i="1"/>
  <c r="X51" i="1"/>
  <c r="X39" i="1"/>
  <c r="X83" i="1"/>
  <c r="X134" i="1"/>
  <c r="X11" i="1"/>
  <c r="X138" i="1"/>
  <c r="X75" i="1"/>
  <c r="X71" i="1"/>
  <c r="X95" i="1"/>
  <c r="X169" i="1"/>
  <c r="X10" i="1"/>
  <c r="X63" i="1"/>
  <c r="X146" i="1"/>
  <c r="X114" i="1"/>
  <c r="X120" i="1"/>
  <c r="X105" i="1"/>
  <c r="X152" i="1"/>
  <c r="X124" i="1"/>
  <c r="X103" i="1"/>
  <c r="X175" i="1"/>
  <c r="X32" i="1"/>
  <c r="X45" i="1"/>
  <c r="X160" i="1"/>
  <c r="X5" i="1"/>
  <c r="X42" i="1"/>
  <c r="X93" i="1"/>
  <c r="X16" i="1"/>
  <c r="X116" i="1"/>
  <c r="X145" i="1"/>
  <c r="X80" i="1"/>
  <c r="X64" i="1"/>
  <c r="X135" i="1"/>
  <c r="X132" i="1"/>
  <c r="X96" i="1"/>
  <c r="X151" i="1"/>
  <c r="X54" i="1"/>
  <c r="X37" i="1"/>
  <c r="X99" i="1"/>
  <c r="X85" i="1"/>
  <c r="X23" i="1"/>
  <c r="X2" i="1"/>
  <c r="X158" i="1"/>
  <c r="X163" i="1"/>
  <c r="X8" i="1"/>
  <c r="X117" i="1"/>
  <c r="X107" i="1"/>
  <c r="X148" i="1"/>
  <c r="X35" i="1"/>
  <c r="X119" i="1"/>
  <c r="X14" i="1"/>
  <c r="X142" i="1"/>
  <c r="X111" i="1"/>
  <c r="X61" i="1"/>
  <c r="X121" i="1"/>
  <c r="X28" i="1"/>
  <c r="X170" i="1"/>
  <c r="X65" i="1"/>
  <c r="X29" i="1"/>
  <c r="X70" i="1"/>
  <c r="X50" i="1"/>
  <c r="X17" i="1"/>
  <c r="X48" i="1"/>
  <c r="X79" i="1"/>
  <c r="X154" i="1"/>
  <c r="X43" i="1"/>
  <c r="X15" i="1"/>
  <c r="X100" i="1"/>
  <c r="X122" i="1"/>
  <c r="X57" i="1"/>
  <c r="X21" i="1"/>
  <c r="X89" i="1"/>
  <c r="X74" i="1"/>
  <c r="X46" i="1"/>
  <c r="X139" i="1"/>
  <c r="X166" i="1"/>
  <c r="X126" i="1"/>
  <c r="X94" i="1"/>
  <c r="X9" i="1"/>
  <c r="X44" i="1"/>
  <c r="X123" i="1"/>
  <c r="X67" i="1"/>
  <c r="X81" i="1"/>
  <c r="X24" i="1"/>
  <c r="X176" i="1"/>
  <c r="X178" i="1"/>
  <c r="X181" i="1"/>
  <c r="X172" i="1"/>
  <c r="X144" i="1"/>
  <c r="X110" i="1"/>
  <c r="X168" i="1"/>
  <c r="X60" i="1"/>
  <c r="X77" i="1"/>
  <c r="X13" i="1"/>
  <c r="X47" i="1"/>
  <c r="X133" i="1"/>
  <c r="X52" i="1"/>
  <c r="X6" i="1"/>
  <c r="X91" i="1"/>
  <c r="X25" i="1"/>
  <c r="X162" i="1"/>
  <c r="X26" i="1"/>
  <c r="X97" i="1"/>
  <c r="X156" i="1"/>
  <c r="X69" i="1"/>
  <c r="X98" i="1"/>
  <c r="X150" i="1"/>
  <c r="X53" i="1"/>
  <c r="X36" i="1"/>
  <c r="X115" i="1"/>
  <c r="X84" i="1"/>
  <c r="X137" i="1"/>
  <c r="X104" i="1"/>
  <c r="X128" i="1"/>
  <c r="X180" i="1"/>
  <c r="X174" i="1"/>
  <c r="M113" i="1"/>
  <c r="N113" i="1" s="1"/>
  <c r="M118" i="1"/>
  <c r="N118" i="1" s="1"/>
  <c r="M59" i="1"/>
  <c r="N59" i="1" s="1"/>
  <c r="M159" i="1"/>
  <c r="N159" i="1" s="1"/>
  <c r="M73" i="1"/>
  <c r="N73" i="1" s="1"/>
  <c r="M101" i="1"/>
  <c r="N101" i="1" s="1"/>
  <c r="M141" i="1"/>
  <c r="N141" i="1" s="1"/>
  <c r="M147" i="1"/>
  <c r="N147" i="1" s="1"/>
  <c r="M90" i="1"/>
  <c r="N90" i="1" s="1"/>
  <c r="M76" i="1"/>
  <c r="N76" i="1" s="1"/>
  <c r="M3" i="1"/>
  <c r="N3" i="1" s="1"/>
  <c r="M130" i="1"/>
  <c r="N130" i="1" s="1"/>
  <c r="M108" i="1"/>
  <c r="N108" i="1" s="1"/>
  <c r="M12" i="1"/>
  <c r="N12" i="1" s="1"/>
  <c r="M153" i="1"/>
  <c r="N153" i="1" s="1"/>
  <c r="M88" i="1"/>
  <c r="N88" i="1" s="1"/>
  <c r="M109" i="1"/>
  <c r="N109" i="1" s="1"/>
  <c r="M27" i="1"/>
  <c r="N27" i="1" s="1"/>
  <c r="M56" i="1"/>
  <c r="N56" i="1" s="1"/>
  <c r="M136" i="1"/>
  <c r="N136" i="1" s="1"/>
  <c r="M165" i="1"/>
  <c r="N165" i="1" s="1"/>
  <c r="M38" i="1"/>
  <c r="N38" i="1" s="1"/>
  <c r="M171" i="1"/>
  <c r="N171" i="1" s="1"/>
  <c r="M68" i="1"/>
  <c r="N68" i="1" s="1"/>
  <c r="M87" i="1"/>
  <c r="N87" i="1" s="1"/>
  <c r="M22" i="1"/>
  <c r="N22" i="1" s="1"/>
  <c r="M41" i="1"/>
  <c r="N41" i="1" s="1"/>
  <c r="M177" i="1"/>
  <c r="N177" i="1" s="1"/>
  <c r="M72" i="1"/>
  <c r="N72" i="1" s="1"/>
  <c r="M149" i="1"/>
  <c r="N149" i="1" s="1"/>
  <c r="M86" i="1"/>
  <c r="N86" i="1" s="1"/>
  <c r="M167" i="1"/>
  <c r="N167" i="1" s="1"/>
  <c r="M125" i="1"/>
  <c r="N125" i="1" s="1"/>
  <c r="M106" i="1"/>
  <c r="N106" i="1" s="1"/>
  <c r="M112" i="1"/>
  <c r="N112" i="1" s="1"/>
  <c r="M92" i="1"/>
  <c r="N92" i="1" s="1"/>
  <c r="M140" i="1"/>
  <c r="N140" i="1" s="1"/>
  <c r="M40" i="1"/>
  <c r="N40" i="1" s="1"/>
  <c r="M55" i="1"/>
  <c r="N55" i="1" s="1"/>
  <c r="M143" i="1"/>
  <c r="N143" i="1" s="1"/>
  <c r="M30" i="1"/>
  <c r="N30" i="1" s="1"/>
  <c r="M161" i="1"/>
  <c r="N161" i="1" s="1"/>
  <c r="M155" i="1"/>
  <c r="N155" i="1" s="1"/>
  <c r="M66" i="1"/>
  <c r="N66" i="1" s="1"/>
  <c r="M127" i="1"/>
  <c r="N127" i="1" s="1"/>
  <c r="M7" i="1"/>
  <c r="N7" i="1" s="1"/>
  <c r="M18" i="1"/>
  <c r="N18" i="1" s="1"/>
  <c r="M131" i="1"/>
  <c r="N131" i="1" s="1"/>
  <c r="M78" i="1"/>
  <c r="N78" i="1" s="1"/>
  <c r="M58" i="1"/>
  <c r="N58" i="1" s="1"/>
  <c r="M179" i="1"/>
  <c r="N179" i="1" s="1"/>
  <c r="M173" i="1"/>
  <c r="N173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49" i="1"/>
  <c r="N49" i="1" s="1"/>
  <c r="M33" i="1"/>
  <c r="N33" i="1" s="1"/>
  <c r="M102" i="1"/>
  <c r="N102" i="1" s="1"/>
  <c r="M4" i="1"/>
  <c r="N4" i="1" s="1"/>
  <c r="M62" i="1"/>
  <c r="N62" i="1" s="1"/>
  <c r="M20" i="1"/>
  <c r="N20" i="1" s="1"/>
  <c r="M82" i="1"/>
  <c r="N82" i="1" s="1"/>
  <c r="M129" i="1"/>
  <c r="N129" i="1" s="1"/>
  <c r="M31" i="1"/>
  <c r="N31" i="1" s="1"/>
  <c r="M34" i="1"/>
  <c r="N34" i="1" s="1"/>
  <c r="M157" i="1"/>
  <c r="N157" i="1" s="1"/>
  <c r="M164" i="1"/>
  <c r="N164" i="1" s="1"/>
  <c r="M51" i="1"/>
  <c r="N51" i="1" s="1"/>
  <c r="M39" i="1"/>
  <c r="N39" i="1" s="1"/>
  <c r="M83" i="1"/>
  <c r="N83" i="1" s="1"/>
  <c r="M134" i="1"/>
  <c r="N134" i="1" s="1"/>
  <c r="M11" i="1"/>
  <c r="N11" i="1" s="1"/>
  <c r="M138" i="1"/>
  <c r="N138" i="1" s="1"/>
  <c r="M75" i="1"/>
  <c r="N75" i="1" s="1"/>
  <c r="M71" i="1"/>
  <c r="N71" i="1" s="1"/>
  <c r="M95" i="1"/>
  <c r="N95" i="1" s="1"/>
  <c r="M169" i="1"/>
  <c r="N169" i="1" s="1"/>
  <c r="M10" i="1"/>
  <c r="N10" i="1" s="1"/>
  <c r="M63" i="1"/>
  <c r="N63" i="1" s="1"/>
  <c r="M146" i="1"/>
  <c r="N146" i="1" s="1"/>
  <c r="M114" i="1"/>
  <c r="N114" i="1" s="1"/>
  <c r="M120" i="1"/>
  <c r="N120" i="1" s="1"/>
  <c r="M105" i="1"/>
  <c r="N105" i="1" s="1"/>
  <c r="M152" i="1"/>
  <c r="N152" i="1" s="1"/>
  <c r="M124" i="1"/>
  <c r="N124" i="1" s="1"/>
  <c r="M103" i="1"/>
  <c r="N103" i="1" s="1"/>
  <c r="M175" i="1"/>
  <c r="N175" i="1" s="1"/>
  <c r="M32" i="1"/>
  <c r="N32" i="1" s="1"/>
  <c r="M45" i="1"/>
  <c r="N45" i="1" s="1"/>
  <c r="M160" i="1"/>
  <c r="N160" i="1" s="1"/>
  <c r="M5" i="1"/>
  <c r="N5" i="1" s="1"/>
  <c r="M42" i="1"/>
  <c r="N42" i="1" s="1"/>
  <c r="M93" i="1"/>
  <c r="N93" i="1" s="1"/>
  <c r="M16" i="1"/>
  <c r="N16" i="1" s="1"/>
  <c r="M116" i="1"/>
  <c r="N116" i="1" s="1"/>
  <c r="M145" i="1"/>
  <c r="N145" i="1" s="1"/>
  <c r="M80" i="1"/>
  <c r="N80" i="1" s="1"/>
  <c r="M64" i="1"/>
  <c r="N64" i="1" s="1"/>
  <c r="M135" i="1"/>
  <c r="N135" i="1" s="1"/>
  <c r="M132" i="1"/>
  <c r="N132" i="1" s="1"/>
  <c r="M96" i="1"/>
  <c r="N96" i="1" s="1"/>
  <c r="M151" i="1"/>
  <c r="N151" i="1" s="1"/>
  <c r="M54" i="1"/>
  <c r="N54" i="1" s="1"/>
  <c r="M37" i="1"/>
  <c r="N37" i="1" s="1"/>
  <c r="M99" i="1"/>
  <c r="N99" i="1" s="1"/>
  <c r="M85" i="1"/>
  <c r="N85" i="1" s="1"/>
  <c r="M23" i="1"/>
  <c r="N23" i="1" s="1"/>
  <c r="M2" i="1"/>
  <c r="N2" i="1" s="1"/>
  <c r="M158" i="1"/>
  <c r="N158" i="1" s="1"/>
  <c r="M163" i="1"/>
  <c r="N163" i="1" s="1"/>
  <c r="M8" i="1"/>
  <c r="N8" i="1" s="1"/>
  <c r="M117" i="1"/>
  <c r="N117" i="1" s="1"/>
  <c r="M107" i="1"/>
  <c r="N107" i="1" s="1"/>
  <c r="M148" i="1"/>
  <c r="N148" i="1" s="1"/>
  <c r="M35" i="1"/>
  <c r="N35" i="1" s="1"/>
  <c r="M119" i="1"/>
  <c r="N119" i="1" s="1"/>
  <c r="M14" i="1"/>
  <c r="N14" i="1" s="1"/>
  <c r="M142" i="1"/>
  <c r="N142" i="1" s="1"/>
  <c r="M111" i="1"/>
  <c r="N111" i="1" s="1"/>
  <c r="M61" i="1"/>
  <c r="N61" i="1" s="1"/>
  <c r="M121" i="1"/>
  <c r="N121" i="1" s="1"/>
  <c r="M28" i="1"/>
  <c r="N28" i="1" s="1"/>
  <c r="M170" i="1"/>
  <c r="N170" i="1" s="1"/>
  <c r="M65" i="1"/>
  <c r="N65" i="1" s="1"/>
  <c r="M29" i="1"/>
  <c r="N29" i="1" s="1"/>
  <c r="M70" i="1"/>
  <c r="N70" i="1" s="1"/>
  <c r="M50" i="1"/>
  <c r="N50" i="1" s="1"/>
  <c r="M17" i="1"/>
  <c r="N17" i="1" s="1"/>
  <c r="M48" i="1"/>
  <c r="N48" i="1" s="1"/>
  <c r="M79" i="1"/>
  <c r="N79" i="1" s="1"/>
  <c r="M154" i="1"/>
  <c r="N154" i="1" s="1"/>
  <c r="M43" i="1"/>
  <c r="N43" i="1" s="1"/>
  <c r="M15" i="1"/>
  <c r="N15" i="1" s="1"/>
  <c r="M100" i="1"/>
  <c r="N100" i="1" s="1"/>
  <c r="M122" i="1"/>
  <c r="N122" i="1" s="1"/>
  <c r="M57" i="1"/>
  <c r="N57" i="1" s="1"/>
  <c r="M21" i="1"/>
  <c r="N21" i="1" s="1"/>
  <c r="M89" i="1"/>
  <c r="N89" i="1" s="1"/>
  <c r="M74" i="1"/>
  <c r="N74" i="1" s="1"/>
  <c r="M46" i="1"/>
  <c r="N46" i="1" s="1"/>
  <c r="M139" i="1"/>
  <c r="N139" i="1" s="1"/>
  <c r="M166" i="1"/>
  <c r="N166" i="1" s="1"/>
  <c r="M126" i="1"/>
  <c r="N126" i="1" s="1"/>
  <c r="M94" i="1"/>
  <c r="N94" i="1" s="1"/>
  <c r="M9" i="1"/>
  <c r="N9" i="1" s="1"/>
  <c r="M44" i="1"/>
  <c r="N44" i="1" s="1"/>
  <c r="M123" i="1"/>
  <c r="N123" i="1" s="1"/>
  <c r="M67" i="1"/>
  <c r="N67" i="1" s="1"/>
  <c r="M81" i="1"/>
  <c r="N81" i="1" s="1"/>
  <c r="M24" i="1"/>
  <c r="N24" i="1" s="1"/>
  <c r="M176" i="1"/>
  <c r="N176" i="1" s="1"/>
  <c r="M178" i="1"/>
  <c r="N178" i="1" s="1"/>
  <c r="M181" i="1"/>
  <c r="N181" i="1" s="1"/>
  <c r="M172" i="1"/>
  <c r="N172" i="1" s="1"/>
  <c r="M144" i="1"/>
  <c r="N144" i="1" s="1"/>
  <c r="M110" i="1"/>
  <c r="N110" i="1" s="1"/>
  <c r="M168" i="1"/>
  <c r="N168" i="1" s="1"/>
  <c r="M60" i="1"/>
  <c r="N60" i="1" s="1"/>
  <c r="M77" i="1"/>
  <c r="N77" i="1" s="1"/>
  <c r="M13" i="1"/>
  <c r="N13" i="1" s="1"/>
  <c r="M47" i="1"/>
  <c r="N47" i="1" s="1"/>
  <c r="M133" i="1"/>
  <c r="N133" i="1" s="1"/>
  <c r="M52" i="1"/>
  <c r="N52" i="1" s="1"/>
  <c r="M6" i="1"/>
  <c r="N6" i="1" s="1"/>
  <c r="M91" i="1"/>
  <c r="N91" i="1" s="1"/>
  <c r="M25" i="1"/>
  <c r="N25" i="1" s="1"/>
  <c r="M162" i="1"/>
  <c r="N162" i="1" s="1"/>
  <c r="M26" i="1"/>
  <c r="N26" i="1" s="1"/>
  <c r="M97" i="1"/>
  <c r="N97" i="1" s="1"/>
  <c r="M156" i="1"/>
  <c r="N156" i="1" s="1"/>
  <c r="M69" i="1"/>
  <c r="N69" i="1" s="1"/>
  <c r="M98" i="1"/>
  <c r="N98" i="1" s="1"/>
  <c r="M150" i="1"/>
  <c r="N150" i="1" s="1"/>
  <c r="M53" i="1"/>
  <c r="N53" i="1" s="1"/>
  <c r="M36" i="1"/>
  <c r="N36" i="1" s="1"/>
  <c r="M115" i="1"/>
  <c r="N115" i="1" s="1"/>
  <c r="M84" i="1"/>
  <c r="N84" i="1" s="1"/>
  <c r="M137" i="1"/>
  <c r="N137" i="1" s="1"/>
  <c r="M104" i="1"/>
  <c r="N104" i="1" s="1"/>
  <c r="M128" i="1"/>
  <c r="N128" i="1" s="1"/>
  <c r="M180" i="1"/>
  <c r="N180" i="1" s="1"/>
  <c r="M174" i="1"/>
  <c r="N174" i="1" s="1"/>
  <c r="M19" i="1"/>
  <c r="N19" i="1" s="1"/>
  <c r="Q113" i="1"/>
  <c r="Q118" i="1"/>
  <c r="Q59" i="1"/>
  <c r="Q159" i="1"/>
  <c r="Q73" i="1"/>
  <c r="Q101" i="1"/>
  <c r="Q141" i="1"/>
  <c r="Q147" i="1"/>
  <c r="Q90" i="1"/>
  <c r="Q76" i="1"/>
  <c r="Q3" i="1"/>
  <c r="Q130" i="1"/>
  <c r="Q108" i="1"/>
  <c r="Q12" i="1"/>
  <c r="Q153" i="1"/>
  <c r="Q88" i="1"/>
  <c r="Q109" i="1"/>
  <c r="Q27" i="1"/>
  <c r="Q56" i="1"/>
  <c r="Q136" i="1"/>
  <c r="Q165" i="1"/>
  <c r="Q38" i="1"/>
  <c r="Q171" i="1"/>
  <c r="Q68" i="1"/>
  <c r="Q87" i="1"/>
  <c r="Q22" i="1"/>
  <c r="Q41" i="1"/>
  <c r="Q177" i="1"/>
  <c r="Q72" i="1"/>
  <c r="Q149" i="1"/>
  <c r="Q86" i="1"/>
  <c r="Q167" i="1"/>
  <c r="Q125" i="1"/>
  <c r="Q106" i="1"/>
  <c r="Q112" i="1"/>
  <c r="Q92" i="1"/>
  <c r="Q140" i="1"/>
  <c r="Q40" i="1"/>
  <c r="Q55" i="1"/>
  <c r="Q143" i="1"/>
  <c r="Q30" i="1"/>
  <c r="Q161" i="1"/>
  <c r="Q155" i="1"/>
  <c r="Q66" i="1"/>
  <c r="Q127" i="1"/>
  <c r="Q7" i="1"/>
  <c r="Q18" i="1"/>
  <c r="Q131" i="1"/>
  <c r="Q78" i="1"/>
  <c r="Q58" i="1"/>
  <c r="Q179" i="1"/>
  <c r="Q173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49" i="1"/>
  <c r="Q33" i="1"/>
  <c r="Q102" i="1"/>
  <c r="Q4" i="1"/>
  <c r="Q62" i="1"/>
  <c r="Q20" i="1"/>
  <c r="Q82" i="1"/>
  <c r="Q129" i="1"/>
  <c r="Q31" i="1"/>
  <c r="Q34" i="1"/>
  <c r="Q157" i="1"/>
  <c r="Q164" i="1"/>
  <c r="Q51" i="1"/>
  <c r="Q39" i="1"/>
  <c r="Q83" i="1"/>
  <c r="Q134" i="1"/>
  <c r="Q11" i="1"/>
  <c r="Q138" i="1"/>
  <c r="Q75" i="1"/>
  <c r="Q71" i="1"/>
  <c r="Q95" i="1"/>
  <c r="Q169" i="1"/>
  <c r="Q10" i="1"/>
  <c r="Q63" i="1"/>
  <c r="Q146" i="1"/>
  <c r="Q114" i="1"/>
  <c r="Q120" i="1"/>
  <c r="Q105" i="1"/>
  <c r="Q152" i="1"/>
  <c r="Q124" i="1"/>
  <c r="Q103" i="1"/>
  <c r="Q175" i="1"/>
  <c r="Q32" i="1"/>
  <c r="Q45" i="1"/>
  <c r="Q160" i="1"/>
  <c r="Q5" i="1"/>
  <c r="Q42" i="1"/>
  <c r="Q93" i="1"/>
  <c r="Q16" i="1"/>
  <c r="Q116" i="1"/>
  <c r="Q145" i="1"/>
  <c r="Q80" i="1"/>
  <c r="Q64" i="1"/>
  <c r="Q135" i="1"/>
  <c r="Q132" i="1"/>
  <c r="Q96" i="1"/>
  <c r="Q151" i="1"/>
  <c r="Q54" i="1"/>
  <c r="Q37" i="1"/>
  <c r="Q99" i="1"/>
  <c r="Q85" i="1"/>
  <c r="Q23" i="1"/>
  <c r="Q2" i="1"/>
  <c r="Q158" i="1"/>
  <c r="Q163" i="1"/>
  <c r="Q8" i="1"/>
  <c r="Q117" i="1"/>
  <c r="Q107" i="1"/>
  <c r="Q148" i="1"/>
  <c r="Q35" i="1"/>
  <c r="Q119" i="1"/>
  <c r="Q14" i="1"/>
  <c r="Q142" i="1"/>
  <c r="Q111" i="1"/>
  <c r="Q61" i="1"/>
  <c r="Q121" i="1"/>
  <c r="Q28" i="1"/>
  <c r="Q170" i="1"/>
  <c r="Q65" i="1"/>
  <c r="Q29" i="1"/>
  <c r="Q70" i="1"/>
  <c r="Q50" i="1"/>
  <c r="Q17" i="1"/>
  <c r="Q48" i="1"/>
  <c r="Q79" i="1"/>
  <c r="Q154" i="1"/>
  <c r="Q43" i="1"/>
  <c r="Q15" i="1"/>
  <c r="Q100" i="1"/>
  <c r="Q122" i="1"/>
  <c r="Q57" i="1"/>
  <c r="Q21" i="1"/>
  <c r="Q89" i="1"/>
  <c r="Q74" i="1"/>
  <c r="Q46" i="1"/>
  <c r="Q139" i="1"/>
  <c r="Q166" i="1"/>
  <c r="Q126" i="1"/>
  <c r="Q94" i="1"/>
  <c r="Q9" i="1"/>
  <c r="Q44" i="1"/>
  <c r="Q123" i="1"/>
  <c r="Q67" i="1"/>
  <c r="Q81" i="1"/>
  <c r="Q24" i="1"/>
  <c r="Q176" i="1"/>
  <c r="Q178" i="1"/>
  <c r="Q181" i="1"/>
  <c r="Q172" i="1"/>
  <c r="Q144" i="1"/>
  <c r="Q110" i="1"/>
  <c r="Q168" i="1"/>
  <c r="Q60" i="1"/>
  <c r="Q77" i="1"/>
  <c r="Q13" i="1"/>
  <c r="Q47" i="1"/>
  <c r="Q133" i="1"/>
  <c r="Q52" i="1"/>
  <c r="Q6" i="1"/>
  <c r="Q91" i="1"/>
  <c r="Q25" i="1"/>
  <c r="Q162" i="1"/>
  <c r="Q26" i="1"/>
  <c r="Q97" i="1"/>
  <c r="Q156" i="1"/>
  <c r="Q69" i="1"/>
  <c r="Q98" i="1"/>
  <c r="Q150" i="1"/>
  <c r="Q53" i="1"/>
  <c r="Q36" i="1"/>
  <c r="Q115" i="1"/>
  <c r="Q84" i="1"/>
  <c r="Q137" i="1"/>
  <c r="Q104" i="1"/>
  <c r="Q128" i="1"/>
  <c r="Q180" i="1"/>
  <c r="Q174" i="1"/>
  <c r="Q19" i="1"/>
  <c r="K113" i="1"/>
  <c r="K118" i="1"/>
  <c r="K59" i="1"/>
  <c r="K159" i="1"/>
  <c r="K73" i="1"/>
  <c r="K101" i="1"/>
  <c r="K141" i="1"/>
  <c r="K147" i="1"/>
  <c r="K90" i="1"/>
  <c r="K76" i="1"/>
  <c r="K3" i="1"/>
  <c r="K130" i="1"/>
  <c r="K108" i="1"/>
  <c r="K12" i="1"/>
  <c r="K153" i="1"/>
  <c r="K88" i="1"/>
  <c r="K109" i="1"/>
  <c r="K27" i="1"/>
  <c r="K56" i="1"/>
  <c r="K136" i="1"/>
  <c r="K165" i="1"/>
  <c r="K38" i="1"/>
  <c r="K171" i="1"/>
  <c r="K68" i="1"/>
  <c r="K87" i="1"/>
  <c r="K22" i="1"/>
  <c r="K41" i="1"/>
  <c r="K177" i="1"/>
  <c r="K72" i="1"/>
  <c r="K149" i="1"/>
  <c r="K86" i="1"/>
  <c r="K167" i="1"/>
  <c r="K125" i="1"/>
  <c r="K106" i="1"/>
  <c r="K112" i="1"/>
  <c r="K92" i="1"/>
  <c r="K140" i="1"/>
  <c r="K40" i="1"/>
  <c r="K55" i="1"/>
  <c r="K143" i="1"/>
  <c r="K30" i="1"/>
  <c r="K161" i="1"/>
  <c r="K155" i="1"/>
  <c r="K66" i="1"/>
  <c r="K127" i="1"/>
  <c r="K7" i="1"/>
  <c r="K18" i="1"/>
  <c r="K131" i="1"/>
  <c r="K78" i="1"/>
  <c r="K58" i="1"/>
  <c r="K179" i="1"/>
  <c r="K173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49" i="1"/>
  <c r="K33" i="1"/>
  <c r="K102" i="1"/>
  <c r="K4" i="1"/>
  <c r="K62" i="1"/>
  <c r="K20" i="1"/>
  <c r="K82" i="1"/>
  <c r="K129" i="1"/>
  <c r="K31" i="1"/>
  <c r="K34" i="1"/>
  <c r="K157" i="1"/>
  <c r="K164" i="1"/>
  <c r="K51" i="1"/>
  <c r="K39" i="1"/>
  <c r="K83" i="1"/>
  <c r="K134" i="1"/>
  <c r="K11" i="1"/>
  <c r="K138" i="1"/>
  <c r="K75" i="1"/>
  <c r="K71" i="1"/>
  <c r="K95" i="1"/>
  <c r="K169" i="1"/>
  <c r="K10" i="1"/>
  <c r="K63" i="1"/>
  <c r="K146" i="1"/>
  <c r="K114" i="1"/>
  <c r="K120" i="1"/>
  <c r="K105" i="1"/>
  <c r="K152" i="1"/>
  <c r="K124" i="1"/>
  <c r="K103" i="1"/>
  <c r="K175" i="1"/>
  <c r="K32" i="1"/>
  <c r="K45" i="1"/>
  <c r="K160" i="1"/>
  <c r="K5" i="1"/>
  <c r="K42" i="1"/>
  <c r="K93" i="1"/>
  <c r="K16" i="1"/>
  <c r="K116" i="1"/>
  <c r="K145" i="1"/>
  <c r="K80" i="1"/>
  <c r="K64" i="1"/>
  <c r="K135" i="1"/>
  <c r="K132" i="1"/>
  <c r="K96" i="1"/>
  <c r="K151" i="1"/>
  <c r="K54" i="1"/>
  <c r="K37" i="1"/>
  <c r="K99" i="1"/>
  <c r="K85" i="1"/>
  <c r="K23" i="1"/>
  <c r="K2" i="1"/>
  <c r="K158" i="1"/>
  <c r="K163" i="1"/>
  <c r="K8" i="1"/>
  <c r="K117" i="1"/>
  <c r="K107" i="1"/>
  <c r="K148" i="1"/>
  <c r="K35" i="1"/>
  <c r="K119" i="1"/>
  <c r="K14" i="1"/>
  <c r="K142" i="1"/>
  <c r="K111" i="1"/>
  <c r="K61" i="1"/>
  <c r="K121" i="1"/>
  <c r="K28" i="1"/>
  <c r="K170" i="1"/>
  <c r="K65" i="1"/>
  <c r="K29" i="1"/>
  <c r="K70" i="1"/>
  <c r="K50" i="1"/>
  <c r="K17" i="1"/>
  <c r="K48" i="1"/>
  <c r="K79" i="1"/>
  <c r="K154" i="1"/>
  <c r="K43" i="1"/>
  <c r="K15" i="1"/>
  <c r="K100" i="1"/>
  <c r="K122" i="1"/>
  <c r="K57" i="1"/>
  <c r="K21" i="1"/>
  <c r="K89" i="1"/>
  <c r="K74" i="1"/>
  <c r="K46" i="1"/>
  <c r="K139" i="1"/>
  <c r="K166" i="1"/>
  <c r="K126" i="1"/>
  <c r="K94" i="1"/>
  <c r="K9" i="1"/>
  <c r="K44" i="1"/>
  <c r="K123" i="1"/>
  <c r="K67" i="1"/>
  <c r="K81" i="1"/>
  <c r="K24" i="1"/>
  <c r="K176" i="1"/>
  <c r="K178" i="1"/>
  <c r="K181" i="1"/>
  <c r="K172" i="1"/>
  <c r="K144" i="1"/>
  <c r="K110" i="1"/>
  <c r="K168" i="1"/>
  <c r="K60" i="1"/>
  <c r="K77" i="1"/>
  <c r="K13" i="1"/>
  <c r="K47" i="1"/>
  <c r="K133" i="1"/>
  <c r="K52" i="1"/>
  <c r="K6" i="1"/>
  <c r="K91" i="1"/>
  <c r="K25" i="1"/>
  <c r="K162" i="1"/>
  <c r="K26" i="1"/>
  <c r="K97" i="1"/>
  <c r="K156" i="1"/>
  <c r="K69" i="1"/>
  <c r="K98" i="1"/>
  <c r="K150" i="1"/>
  <c r="K53" i="1"/>
  <c r="K36" i="1"/>
  <c r="K115" i="1"/>
  <c r="K84" i="1"/>
  <c r="K137" i="1"/>
  <c r="K104" i="1"/>
  <c r="K128" i="1"/>
  <c r="K180" i="1"/>
  <c r="K174" i="1"/>
  <c r="K19" i="1"/>
  <c r="I113" i="1"/>
  <c r="I118" i="1"/>
  <c r="I59" i="1"/>
  <c r="I159" i="1"/>
  <c r="I73" i="1"/>
  <c r="I101" i="1"/>
  <c r="I141" i="1"/>
  <c r="I147" i="1"/>
  <c r="I90" i="1"/>
  <c r="I76" i="1"/>
  <c r="I3" i="1"/>
  <c r="I130" i="1"/>
  <c r="I108" i="1"/>
  <c r="I12" i="1"/>
  <c r="I153" i="1"/>
  <c r="I88" i="1"/>
  <c r="I109" i="1"/>
  <c r="I27" i="1"/>
  <c r="I56" i="1"/>
  <c r="I136" i="1"/>
  <c r="I165" i="1"/>
  <c r="I38" i="1"/>
  <c r="I171" i="1"/>
  <c r="I68" i="1"/>
  <c r="I87" i="1"/>
  <c r="I22" i="1"/>
  <c r="I41" i="1"/>
  <c r="I177" i="1"/>
  <c r="I72" i="1"/>
  <c r="I149" i="1"/>
  <c r="I86" i="1"/>
  <c r="I167" i="1"/>
  <c r="I125" i="1"/>
  <c r="I106" i="1"/>
  <c r="I112" i="1"/>
  <c r="I92" i="1"/>
  <c r="I140" i="1"/>
  <c r="I40" i="1"/>
  <c r="I55" i="1"/>
  <c r="I143" i="1"/>
  <c r="I30" i="1"/>
  <c r="I161" i="1"/>
  <c r="I155" i="1"/>
  <c r="I66" i="1"/>
  <c r="I127" i="1"/>
  <c r="I7" i="1"/>
  <c r="I18" i="1"/>
  <c r="I131" i="1"/>
  <c r="I78" i="1"/>
  <c r="I58" i="1"/>
  <c r="I179" i="1"/>
  <c r="I173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49" i="1"/>
  <c r="I33" i="1"/>
  <c r="I102" i="1"/>
  <c r="I4" i="1"/>
  <c r="I62" i="1"/>
  <c r="I20" i="1"/>
  <c r="I82" i="1"/>
  <c r="I129" i="1"/>
  <c r="I31" i="1"/>
  <c r="I34" i="1"/>
  <c r="I157" i="1"/>
  <c r="I164" i="1"/>
  <c r="I51" i="1"/>
  <c r="I39" i="1"/>
  <c r="I83" i="1"/>
  <c r="I134" i="1"/>
  <c r="I11" i="1"/>
  <c r="I138" i="1"/>
  <c r="I75" i="1"/>
  <c r="I71" i="1"/>
  <c r="I95" i="1"/>
  <c r="I169" i="1"/>
  <c r="I10" i="1"/>
  <c r="I63" i="1"/>
  <c r="I146" i="1"/>
  <c r="I114" i="1"/>
  <c r="I120" i="1"/>
  <c r="I105" i="1"/>
  <c r="I152" i="1"/>
  <c r="I124" i="1"/>
  <c r="I103" i="1"/>
  <c r="I175" i="1"/>
  <c r="I32" i="1"/>
  <c r="I45" i="1"/>
  <c r="I160" i="1"/>
  <c r="I5" i="1"/>
  <c r="I42" i="1"/>
  <c r="I93" i="1"/>
  <c r="I16" i="1"/>
  <c r="I116" i="1"/>
  <c r="I145" i="1"/>
  <c r="I80" i="1"/>
  <c r="I64" i="1"/>
  <c r="I135" i="1"/>
  <c r="I132" i="1"/>
  <c r="I96" i="1"/>
  <c r="I151" i="1"/>
  <c r="I54" i="1"/>
  <c r="I37" i="1"/>
  <c r="I99" i="1"/>
  <c r="I85" i="1"/>
  <c r="I23" i="1"/>
  <c r="I2" i="1"/>
  <c r="I158" i="1"/>
  <c r="I163" i="1"/>
  <c r="I8" i="1"/>
  <c r="I117" i="1"/>
  <c r="I107" i="1"/>
  <c r="I148" i="1"/>
  <c r="I35" i="1"/>
  <c r="I119" i="1"/>
  <c r="I14" i="1"/>
  <c r="I142" i="1"/>
  <c r="I111" i="1"/>
  <c r="I61" i="1"/>
  <c r="I121" i="1"/>
  <c r="I28" i="1"/>
  <c r="I170" i="1"/>
  <c r="I65" i="1"/>
  <c r="I29" i="1"/>
  <c r="I70" i="1"/>
  <c r="I50" i="1"/>
  <c r="I17" i="1"/>
  <c r="I48" i="1"/>
  <c r="I79" i="1"/>
  <c r="I154" i="1"/>
  <c r="I43" i="1"/>
  <c r="I15" i="1"/>
  <c r="I100" i="1"/>
  <c r="I122" i="1"/>
  <c r="I57" i="1"/>
  <c r="I21" i="1"/>
  <c r="I89" i="1"/>
  <c r="I74" i="1"/>
  <c r="I46" i="1"/>
  <c r="I139" i="1"/>
  <c r="I166" i="1"/>
  <c r="I126" i="1"/>
  <c r="I94" i="1"/>
  <c r="I9" i="1"/>
  <c r="I44" i="1"/>
  <c r="I123" i="1"/>
  <c r="I67" i="1"/>
  <c r="I81" i="1"/>
  <c r="I24" i="1"/>
  <c r="I176" i="1"/>
  <c r="I178" i="1"/>
  <c r="I181" i="1"/>
  <c r="I172" i="1"/>
  <c r="I144" i="1"/>
  <c r="I110" i="1"/>
  <c r="I168" i="1"/>
  <c r="I60" i="1"/>
  <c r="I77" i="1"/>
  <c r="I13" i="1"/>
  <c r="I47" i="1"/>
  <c r="I133" i="1"/>
  <c r="I52" i="1"/>
  <c r="I6" i="1"/>
  <c r="I91" i="1"/>
  <c r="I25" i="1"/>
  <c r="I162" i="1"/>
  <c r="I26" i="1"/>
  <c r="I97" i="1"/>
  <c r="I156" i="1"/>
  <c r="I69" i="1"/>
  <c r="I98" i="1"/>
  <c r="I150" i="1"/>
  <c r="I53" i="1"/>
  <c r="I36" i="1"/>
  <c r="I115" i="1"/>
  <c r="I84" i="1"/>
  <c r="I137" i="1"/>
  <c r="I104" i="1"/>
  <c r="I128" i="1"/>
  <c r="I180" i="1"/>
  <c r="I174" i="1"/>
  <c r="I19" i="1"/>
</calcChain>
</file>

<file path=xl/sharedStrings.xml><?xml version="1.0" encoding="utf-8"?>
<sst xmlns="http://schemas.openxmlformats.org/spreadsheetml/2006/main" count="5565" uniqueCount="1547">
  <si>
    <t>Order ID</t>
  </si>
  <si>
    <t>Order Date</t>
  </si>
  <si>
    <t>Customer ID</t>
  </si>
  <si>
    <t>Type</t>
  </si>
  <si>
    <t>SKU</t>
  </si>
  <si>
    <t>Category</t>
  </si>
  <si>
    <t>Product Name</t>
  </si>
  <si>
    <t>Unit Price</t>
  </si>
  <si>
    <t>Qty</t>
  </si>
  <si>
    <t>Total</t>
  </si>
  <si>
    <t>Discount Code</t>
  </si>
  <si>
    <t>Disc %</t>
  </si>
  <si>
    <t>Payment</t>
  </si>
  <si>
    <t>Source</t>
  </si>
  <si>
    <t>City</t>
  </si>
  <si>
    <t>State</t>
  </si>
  <si>
    <t>Warehouse</t>
  </si>
  <si>
    <t>Del Date</t>
  </si>
  <si>
    <t>Status</t>
  </si>
  <si>
    <t>Return?</t>
  </si>
  <si>
    <t>Reason</t>
  </si>
  <si>
    <t>Ret Rec</t>
  </si>
  <si>
    <t>Refund</t>
  </si>
  <si>
    <t>UT-100001</t>
  </si>
  <si>
    <t>CUST_10001</t>
  </si>
  <si>
    <t>New</t>
  </si>
  <si>
    <t>Tops</t>
  </si>
  <si>
    <t>Classic Cotton Tee</t>
  </si>
  <si>
    <t>UPI</t>
  </si>
  <si>
    <t>Website</t>
  </si>
  <si>
    <t>Mumbai</t>
  </si>
  <si>
    <t>Maharashtra</t>
  </si>
  <si>
    <t>Delivered</t>
  </si>
  <si>
    <t>No</t>
  </si>
  <si>
    <t>Not Applicable</t>
  </si>
  <si>
    <t>UT-100002</t>
  </si>
  <si>
    <t>CUST_10002</t>
  </si>
  <si>
    <t>Returning</t>
  </si>
  <si>
    <t>Dresses</t>
  </si>
  <si>
    <t>Floral Midi Dress</t>
  </si>
  <si>
    <t>DIWALI20</t>
  </si>
  <si>
    <t>Credit Card</t>
  </si>
  <si>
    <t>Mobile App</t>
  </si>
  <si>
    <t>Delhi</t>
  </si>
  <si>
    <t>Yes</t>
  </si>
  <si>
    <t>Size Issue</t>
  </si>
  <si>
    <t>Processed</t>
  </si>
  <si>
    <t>UT-100003</t>
  </si>
  <si>
    <t>CUST_10003</t>
  </si>
  <si>
    <t>new</t>
  </si>
  <si>
    <t>Bottoms</t>
  </si>
  <si>
    <t>Slim Fit Jeans</t>
  </si>
  <si>
    <t>COD</t>
  </si>
  <si>
    <t>Bangalore</t>
  </si>
  <si>
    <t>Karnataka</t>
  </si>
  <si>
    <t>UT-100004</t>
  </si>
  <si>
    <t>CUST_10004</t>
  </si>
  <si>
    <t>Outerwear</t>
  </si>
  <si>
    <t>Denim Jacket</t>
  </si>
  <si>
    <t>FIRST15</t>
  </si>
  <si>
    <t>Debit Card</t>
  </si>
  <si>
    <t>Instagram Shop</t>
  </si>
  <si>
    <t>Chennai</t>
  </si>
  <si>
    <t>Tamil Nadu</t>
  </si>
  <si>
    <t>Quality Defect</t>
  </si>
  <si>
    <t>UT-100005</t>
  </si>
  <si>
    <t>Accessories</t>
  </si>
  <si>
    <t>Silk Scarf</t>
  </si>
  <si>
    <t>UT-100006</t>
  </si>
  <si>
    <t>CUST_10005</t>
  </si>
  <si>
    <t>Printed Blouse</t>
  </si>
  <si>
    <t>Hyderabad</t>
  </si>
  <si>
    <t>Telangana</t>
  </si>
  <si>
    <t>Changed Mind</t>
  </si>
  <si>
    <t>UT-100007</t>
  </si>
  <si>
    <t>CUST_10006</t>
  </si>
  <si>
    <t>A-Line Dress</t>
  </si>
  <si>
    <t>Pune</t>
  </si>
  <si>
    <t>Cancelled</t>
  </si>
  <si>
    <t>UT-100008</t>
  </si>
  <si>
    <t>CUST_10007</t>
  </si>
  <si>
    <t>Formal Trousers</t>
  </si>
  <si>
    <t>Kolkata</t>
  </si>
  <si>
    <t>West Bengal</t>
  </si>
  <si>
    <t>UT-100009</t>
  </si>
  <si>
    <t>CUST_10008</t>
  </si>
  <si>
    <t>Oversized Tee</t>
  </si>
  <si>
    <t>Ahmedabad</t>
  </si>
  <si>
    <t>Gujarat</t>
  </si>
  <si>
    <t>UT-100010</t>
  </si>
  <si>
    <t>CUST_10009</t>
  </si>
  <si>
    <t>Casual Blazer</t>
  </si>
  <si>
    <t>Jaipur</t>
  </si>
  <si>
    <t>Rajasthan</t>
  </si>
  <si>
    <t>Wrong Item</t>
  </si>
  <si>
    <t>Pending</t>
  </si>
  <si>
    <t>UT-100011</t>
  </si>
  <si>
    <t>CUST_10010</t>
  </si>
  <si>
    <t>Tote Bag</t>
  </si>
  <si>
    <t>FLAT10</t>
  </si>
  <si>
    <t>Wallet</t>
  </si>
  <si>
    <t>Lucknow</t>
  </si>
  <si>
    <t>Uttar Pradesh</t>
  </si>
  <si>
    <t>UT-100012</t>
  </si>
  <si>
    <t>CUST_10011</t>
  </si>
  <si>
    <t>Party Dress</t>
  </si>
  <si>
    <t>Chandigarh</t>
  </si>
  <si>
    <t>Punjab</t>
  </si>
  <si>
    <t>RTO</t>
  </si>
  <si>
    <t>UT-100013</t>
  </si>
  <si>
    <t>CUST_10012</t>
  </si>
  <si>
    <t>Silk Blouse</t>
  </si>
  <si>
    <t>UT-100014</t>
  </si>
  <si>
    <t>CUST_10013</t>
  </si>
  <si>
    <t>Pleated Skirt</t>
  </si>
  <si>
    <t>UT-100015</t>
  </si>
  <si>
    <t>CUST_10014</t>
  </si>
  <si>
    <t>Knit Cardigan</t>
  </si>
  <si>
    <t>UT-100016</t>
  </si>
  <si>
    <t>CUST_10015</t>
  </si>
  <si>
    <t>Statement Earrings</t>
  </si>
  <si>
    <t>Noida</t>
  </si>
  <si>
    <t>Damaged in Transit</t>
  </si>
  <si>
    <t>UT-100017</t>
  </si>
  <si>
    <t>CUST_10016</t>
  </si>
  <si>
    <t>Crop Top</t>
  </si>
  <si>
    <t>Gurgaon</t>
  </si>
  <si>
    <t>Haryana</t>
  </si>
  <si>
    <t>UT-100018</t>
  </si>
  <si>
    <t>CUST_10017</t>
  </si>
  <si>
    <t>Maxi Dress</t>
  </si>
  <si>
    <t>Indore</t>
  </si>
  <si>
    <t>Madhya Pradesh</t>
  </si>
  <si>
    <t>UT-100019</t>
  </si>
  <si>
    <t>CUST_10018</t>
  </si>
  <si>
    <t>Joggers</t>
  </si>
  <si>
    <t>Surat</t>
  </si>
  <si>
    <t>UT-100020</t>
  </si>
  <si>
    <t>CUST_10019</t>
  </si>
  <si>
    <t>Puffer Vest</t>
  </si>
  <si>
    <t>Patna</t>
  </si>
  <si>
    <t>Bihar</t>
  </si>
  <si>
    <t>UT-100021</t>
  </si>
  <si>
    <t>CUST_10020</t>
  </si>
  <si>
    <t>Tunic Top</t>
  </si>
  <si>
    <t>Bhopal</t>
  </si>
  <si>
    <t>UT-100022</t>
  </si>
  <si>
    <t>CUST_10021</t>
  </si>
  <si>
    <t>Shirt Dress</t>
  </si>
  <si>
    <t>Nagpur</t>
  </si>
  <si>
    <t>UT-100023</t>
  </si>
  <si>
    <t>CUST_10022</t>
  </si>
  <si>
    <t>Leather Belt</t>
  </si>
  <si>
    <t>Coimbatore</t>
  </si>
  <si>
    <t>UT-100024</t>
  </si>
  <si>
    <t>CUST_10023</t>
  </si>
  <si>
    <t>Cotton Shorts</t>
  </si>
  <si>
    <t>Kochi</t>
  </si>
  <si>
    <t>Kerala</t>
  </si>
  <si>
    <t>UT-100025</t>
  </si>
  <si>
    <t>CUST_10024</t>
  </si>
  <si>
    <t>Polo Shirt</t>
  </si>
  <si>
    <t>Vizag</t>
  </si>
  <si>
    <t>Andhra Pradesh</t>
  </si>
  <si>
    <t>UT-100026</t>
  </si>
  <si>
    <t>CUST_10025</t>
  </si>
  <si>
    <t>Work Dress</t>
  </si>
  <si>
    <t>Thiruvananthapuram</t>
  </si>
  <si>
    <t>UT-100027</t>
  </si>
  <si>
    <t>CUST_10026</t>
  </si>
  <si>
    <t>Trench Coat</t>
  </si>
  <si>
    <t>Mysore</t>
  </si>
  <si>
    <t>UT-100028</t>
  </si>
  <si>
    <t>CUST_10027</t>
  </si>
  <si>
    <t>Fedora Hat</t>
  </si>
  <si>
    <t>Vadodara</t>
  </si>
  <si>
    <t>UT-100029</t>
  </si>
  <si>
    <t>CUST_10028</t>
  </si>
  <si>
    <t>Denim Shirt</t>
  </si>
  <si>
    <t>Rajkot</t>
  </si>
  <si>
    <t>UT-100030</t>
  </si>
  <si>
    <t>CUST_10029</t>
  </si>
  <si>
    <t>Cargo Pants</t>
  </si>
  <si>
    <t>Kanpur</t>
  </si>
  <si>
    <t>UT-100031</t>
  </si>
  <si>
    <t>CUST_10030</t>
  </si>
  <si>
    <t>Evening Gown</t>
  </si>
  <si>
    <t>UT-100032</t>
  </si>
  <si>
    <t>CUST_10031</t>
  </si>
  <si>
    <t>Basic Tank</t>
  </si>
  <si>
    <t>UT-100033</t>
  </si>
  <si>
    <t>CUST_10032</t>
  </si>
  <si>
    <t>Wool Coat</t>
  </si>
  <si>
    <t>UT-100034</t>
  </si>
  <si>
    <t>CUST_10033</t>
  </si>
  <si>
    <t>Fashion Watch</t>
  </si>
  <si>
    <t>UT-100035</t>
  </si>
  <si>
    <t>CUST_10034</t>
  </si>
  <si>
    <t>Denim Shorts</t>
  </si>
  <si>
    <t>UT-100036</t>
  </si>
  <si>
    <t>CUST_10035</t>
  </si>
  <si>
    <t>Sundress</t>
  </si>
  <si>
    <t>UT-100037</t>
  </si>
  <si>
    <t>CUST_10036</t>
  </si>
  <si>
    <t>Ruffle Top</t>
  </si>
  <si>
    <t>UT-100038</t>
  </si>
  <si>
    <t>CUST_10037</t>
  </si>
  <si>
    <t>Leather Jacket</t>
  </si>
  <si>
    <t>UT-100039</t>
  </si>
  <si>
    <t>CUST_10038</t>
  </si>
  <si>
    <t>Sunglasses</t>
  </si>
  <si>
    <t>UT-100040</t>
  </si>
  <si>
    <t>CUST_10039</t>
  </si>
  <si>
    <t>Palazzo Pants</t>
  </si>
  <si>
    <t>UT-100041</t>
  </si>
  <si>
    <t>CUST_10040</t>
  </si>
  <si>
    <t>Bodycon Dress</t>
  </si>
  <si>
    <t>UT-100042</t>
  </si>
  <si>
    <t>CUST_10041</t>
  </si>
  <si>
    <t>Off-Shoulder Top</t>
  </si>
  <si>
    <t>UT-100043</t>
  </si>
  <si>
    <t>CUST_10042</t>
  </si>
  <si>
    <t>Denim Vest</t>
  </si>
  <si>
    <t>UT-100044</t>
  </si>
  <si>
    <t>CUST_10043</t>
  </si>
  <si>
    <t>Hobo Bag</t>
  </si>
  <si>
    <t>UT-100045</t>
  </si>
  <si>
    <t>CUST_10044</t>
  </si>
  <si>
    <t>Chino Pants</t>
  </si>
  <si>
    <t>UT-100046</t>
  </si>
  <si>
    <t>CUST_10045</t>
  </si>
  <si>
    <t>Wrap Dress</t>
  </si>
  <si>
    <t>UT-100047</t>
  </si>
  <si>
    <t>CUST_10046</t>
  </si>
  <si>
    <t>Striped Tee</t>
  </si>
  <si>
    <t>UT-100048</t>
  </si>
  <si>
    <t>CUST_10047</t>
  </si>
  <si>
    <t>Parka Jacket</t>
  </si>
  <si>
    <t>UT-100049</t>
  </si>
  <si>
    <t>CUST_10048</t>
  </si>
  <si>
    <t>Hoop Earrings</t>
  </si>
  <si>
    <t>UT-100050</t>
  </si>
  <si>
    <t>CUST_10049</t>
  </si>
  <si>
    <t>Leggings</t>
  </si>
  <si>
    <t>UT-100051</t>
  </si>
  <si>
    <t>CUST_10050</t>
  </si>
  <si>
    <t>Cotton Dress</t>
  </si>
  <si>
    <t>UT-100052</t>
  </si>
  <si>
    <t>CUST_10051</t>
  </si>
  <si>
    <t>Lace Top</t>
  </si>
  <si>
    <t>UT-100053</t>
  </si>
  <si>
    <t>CUST_10052</t>
  </si>
  <si>
    <t>Bomber Jacket</t>
  </si>
  <si>
    <t>UT-100054</t>
  </si>
  <si>
    <t>CUST_10053</t>
  </si>
  <si>
    <t>Pendant Necklace</t>
  </si>
  <si>
    <t>UT-100055</t>
  </si>
  <si>
    <t>CUST_10054</t>
  </si>
  <si>
    <t>Wide Leg Pants</t>
  </si>
  <si>
    <t>UT-100056</t>
  </si>
  <si>
    <t>CUST_10055</t>
  </si>
  <si>
    <t>Tiered Dress</t>
  </si>
  <si>
    <t>UT-100057</t>
  </si>
  <si>
    <t>CUST_10056</t>
  </si>
  <si>
    <t>Peplum Top</t>
  </si>
  <si>
    <t>UT-100058</t>
  </si>
  <si>
    <t>CUST_10057</t>
  </si>
  <si>
    <t>Quilted Jacket</t>
  </si>
  <si>
    <t>UT-100059</t>
  </si>
  <si>
    <t>CUST_10058</t>
  </si>
  <si>
    <t>Charm Bracelet</t>
  </si>
  <si>
    <t>UT-100060</t>
  </si>
  <si>
    <t>CUST_10059</t>
  </si>
  <si>
    <t>Cropped Pants</t>
  </si>
  <si>
    <t>UT-100061</t>
  </si>
  <si>
    <t>CUST_10060</t>
  </si>
  <si>
    <t>Slip Dress</t>
  </si>
  <si>
    <t>UT-100062</t>
  </si>
  <si>
    <t>CUST_10061</t>
  </si>
  <si>
    <t>Halter Top</t>
  </si>
  <si>
    <t>UT-100063</t>
  </si>
  <si>
    <t>CUST_10062</t>
  </si>
  <si>
    <t>Fleece Jacket</t>
  </si>
  <si>
    <t>UT-100064</t>
  </si>
  <si>
    <t>CUST_10063</t>
  </si>
  <si>
    <t>Cocktail Ring</t>
  </si>
  <si>
    <t>UT-100065</t>
  </si>
  <si>
    <t>CUST_10064</t>
  </si>
  <si>
    <t>Skinny Jeans</t>
  </si>
  <si>
    <t>UT-100066</t>
  </si>
  <si>
    <t>CUST_10065</t>
  </si>
  <si>
    <t>Knit Dress</t>
  </si>
  <si>
    <t>UT-100067</t>
  </si>
  <si>
    <t>CUST_10066</t>
  </si>
  <si>
    <t>Embroidered Top</t>
  </si>
  <si>
    <t>UT-100068</t>
  </si>
  <si>
    <t>CUST_10067</t>
  </si>
  <si>
    <t>Shrug</t>
  </si>
  <si>
    <t>UT-100069</t>
  </si>
  <si>
    <t>CUST_10068</t>
  </si>
  <si>
    <t>Clutch Bag</t>
  </si>
  <si>
    <t>UT-100070</t>
  </si>
  <si>
    <t>CUST_10069</t>
  </si>
  <si>
    <t>Flared Jeans</t>
  </si>
  <si>
    <t>UT-100071</t>
  </si>
  <si>
    <t>CUST_10070</t>
  </si>
  <si>
    <t>Pinafore Dress</t>
  </si>
  <si>
    <t>UT-100072</t>
  </si>
  <si>
    <t>CUST_10071</t>
  </si>
  <si>
    <t>Crew Neck Tee</t>
  </si>
  <si>
    <t>UT-100073</t>
  </si>
  <si>
    <t>CUST_10072</t>
  </si>
  <si>
    <t>Cardigan</t>
  </si>
  <si>
    <t>UT-100074</t>
  </si>
  <si>
    <t>CUST_10073</t>
  </si>
  <si>
    <t>Hair Scrunchie</t>
  </si>
  <si>
    <t>UT-100075</t>
  </si>
  <si>
    <t>CUST_10074</t>
  </si>
  <si>
    <t>Paper Bag Pants</t>
  </si>
  <si>
    <t>UT-100076</t>
  </si>
  <si>
    <t>CUST_10075</t>
  </si>
  <si>
    <t>Smocked Dress</t>
  </si>
  <si>
    <t>UT-100077</t>
  </si>
  <si>
    <t>CUST_10076</t>
  </si>
  <si>
    <t>Button-Down Shirt</t>
  </si>
  <si>
    <t>UT-100078</t>
  </si>
  <si>
    <t>CUST_10077</t>
  </si>
  <si>
    <t>Velvet Blazer</t>
  </si>
  <si>
    <t>UT-100079</t>
  </si>
  <si>
    <t>CUST_10078</t>
  </si>
  <si>
    <t>Canvas Tote</t>
  </si>
  <si>
    <t>UT-100080</t>
  </si>
  <si>
    <t>CUST_10079</t>
  </si>
  <si>
    <t>Cargo Shorts</t>
  </si>
  <si>
    <t>UT-100081</t>
  </si>
  <si>
    <t>CUST_10080</t>
  </si>
  <si>
    <t>Butterfly Dress</t>
  </si>
  <si>
    <t>UT-100082</t>
  </si>
  <si>
    <t>CUST_10081</t>
  </si>
  <si>
    <t>V-Neck Tee</t>
  </si>
  <si>
    <t>UT-100083</t>
  </si>
  <si>
    <t>CUST_10082</t>
  </si>
  <si>
    <t>UT-100084</t>
  </si>
  <si>
    <t>CUST_10083</t>
  </si>
  <si>
    <t>Body Chain</t>
  </si>
  <si>
    <t>UT-100085</t>
  </si>
  <si>
    <t>CUST_10084</t>
  </si>
  <si>
    <t>Jogger Pants</t>
  </si>
  <si>
    <t>UT-100086</t>
  </si>
  <si>
    <t>CUST_10085</t>
  </si>
  <si>
    <t>Ruffle Dress</t>
  </si>
  <si>
    <t>UT-100087</t>
  </si>
  <si>
    <t>CUST_10086</t>
  </si>
  <si>
    <t>Square Neck Top</t>
  </si>
  <si>
    <t>UT-100088</t>
  </si>
  <si>
    <t>CUST_10087</t>
  </si>
  <si>
    <t>Windbreaker</t>
  </si>
  <si>
    <t>UT-100089</t>
  </si>
  <si>
    <t>CUST_10088</t>
  </si>
  <si>
    <t>Anklet</t>
  </si>
  <si>
    <t>UT-100090</t>
  </si>
  <si>
    <t>CUST_10089</t>
  </si>
  <si>
    <t>Tailored Trousers</t>
  </si>
  <si>
    <t>UT-100091</t>
  </si>
  <si>
    <t>CUST_10090</t>
  </si>
  <si>
    <t>Lace Trim Dress</t>
  </si>
  <si>
    <t>UT-100092</t>
  </si>
  <si>
    <t>CUST_10091</t>
  </si>
  <si>
    <t>Tie-Front Top</t>
  </si>
  <si>
    <t>UT-100093</t>
  </si>
  <si>
    <t>CUST_10092</t>
  </si>
  <si>
    <t>Puffer Jacket</t>
  </si>
  <si>
    <t>UT-100094</t>
  </si>
  <si>
    <t>CUST_10093</t>
  </si>
  <si>
    <t>Hairband</t>
  </si>
  <si>
    <t>UT-100095</t>
  </si>
  <si>
    <t>CUST_10094</t>
  </si>
  <si>
    <t>Pleated Trousers</t>
  </si>
  <si>
    <t>UT-100096</t>
  </si>
  <si>
    <t>CUST_10095</t>
  </si>
  <si>
    <t>Shirtdress</t>
  </si>
  <si>
    <t>UT-100097</t>
  </si>
  <si>
    <t>CUST_10096</t>
  </si>
  <si>
    <t>Graphic Tee</t>
  </si>
  <si>
    <t>UT-100098</t>
  </si>
  <si>
    <t>CUST_10097</t>
  </si>
  <si>
    <t>Shawl Wrap</t>
  </si>
  <si>
    <t>UT-100099</t>
  </si>
  <si>
    <t>CUST_10098</t>
  </si>
  <si>
    <t>Braided Belt</t>
  </si>
  <si>
    <t>UT-100100</t>
  </si>
  <si>
    <t>CUST_10099</t>
  </si>
  <si>
    <t>Culottes</t>
  </si>
  <si>
    <t>UT-100101</t>
  </si>
  <si>
    <t>CUST_10100</t>
  </si>
  <si>
    <t>UT-100102</t>
  </si>
  <si>
    <t>CUST_10101</t>
  </si>
  <si>
    <t>Sleeveless Top</t>
  </si>
  <si>
    <t>UT-100103</t>
  </si>
  <si>
    <t>CUST_10102</t>
  </si>
  <si>
    <t>Cape Coat</t>
  </si>
  <si>
    <t>UT-100104</t>
  </si>
  <si>
    <t>CUST_10103</t>
  </si>
  <si>
    <t>Shoulder Bag</t>
  </si>
  <si>
    <t>UT-100105</t>
  </si>
  <si>
    <t>CUST_10104</t>
  </si>
  <si>
    <t>Straight Pants</t>
  </si>
  <si>
    <t>UT-100106</t>
  </si>
  <si>
    <t>CUST_10105</t>
  </si>
  <si>
    <t>Fit &amp; Flare Dress</t>
  </si>
  <si>
    <t>UT-100107</t>
  </si>
  <si>
    <t>CUST_10106</t>
  </si>
  <si>
    <t>Cowl Neck Top</t>
  </si>
  <si>
    <t>UT-100108</t>
  </si>
  <si>
    <t>CUST_10107</t>
  </si>
  <si>
    <t>Blazer</t>
  </si>
  <si>
    <t>UT-100109</t>
  </si>
  <si>
    <t>CUST_10108</t>
  </si>
  <si>
    <t>Cuff Bracelet</t>
  </si>
  <si>
    <t>UT-100110</t>
  </si>
  <si>
    <t>CUST_10109</t>
  </si>
  <si>
    <t>Harem Pants</t>
  </si>
  <si>
    <t>UT-100111</t>
  </si>
  <si>
    <t>CUST_10110</t>
  </si>
  <si>
    <t>Festive Kurta Set</t>
  </si>
  <si>
    <t>DIWALI40</t>
  </si>
  <si>
    <t>UT-100112</t>
  </si>
  <si>
    <t>CUST_10111</t>
  </si>
  <si>
    <t>Embroidered Jacket</t>
  </si>
  <si>
    <t>UT-100113</t>
  </si>
  <si>
    <t>CUST_10112</t>
  </si>
  <si>
    <t>Festive Blouse</t>
  </si>
  <si>
    <t>UT-100114</t>
  </si>
  <si>
    <t>CUST_10113</t>
  </si>
  <si>
    <t>Festive Clutch</t>
  </si>
  <si>
    <t>UT-100115</t>
  </si>
  <si>
    <t>CUST_10114</t>
  </si>
  <si>
    <t>UT-100116</t>
  </si>
  <si>
    <t>CUST_10115</t>
  </si>
  <si>
    <t>Anarkali Dress</t>
  </si>
  <si>
    <t>UT-100117</t>
  </si>
  <si>
    <t>CUST_10116</t>
  </si>
  <si>
    <t>Embroidered Kurti</t>
  </si>
  <si>
    <t>UT-100118</t>
  </si>
  <si>
    <t>CUST_10117</t>
  </si>
  <si>
    <t>Pashmina Shawl</t>
  </si>
  <si>
    <t>Amritsar</t>
  </si>
  <si>
    <t>UT-100119</t>
  </si>
  <si>
    <t>CUST_10118</t>
  </si>
  <si>
    <t>Lehenga Set</t>
  </si>
  <si>
    <t>UT-100120</t>
  </si>
  <si>
    <t>CUST_10119</t>
  </si>
  <si>
    <t>Statement Necklace</t>
  </si>
  <si>
    <t>UT-100121</t>
  </si>
  <si>
    <t>CUST_10120</t>
  </si>
  <si>
    <t>Sequin Top</t>
  </si>
  <si>
    <t>UT-100122</t>
  </si>
  <si>
    <t>CUST_10121</t>
  </si>
  <si>
    <t>Lehenga Skirt</t>
  </si>
  <si>
    <t>UT-100123</t>
  </si>
  <si>
    <t>CUST_10122</t>
  </si>
  <si>
    <t>Saree Gown</t>
  </si>
  <si>
    <t>UT-100124</t>
  </si>
  <si>
    <t>CUST_10123</t>
  </si>
  <si>
    <t>Brocade Blazer</t>
  </si>
  <si>
    <t>UT-100125</t>
  </si>
  <si>
    <t>CUST_10124</t>
  </si>
  <si>
    <t>Maang Tikka Set</t>
  </si>
  <si>
    <t>Varanasi</t>
  </si>
  <si>
    <t>UT-100126</t>
  </si>
  <si>
    <t>CUST_10125</t>
  </si>
  <si>
    <t>Zardozi Blouse</t>
  </si>
  <si>
    <t>UT-100127</t>
  </si>
  <si>
    <t>CUST_10126</t>
  </si>
  <si>
    <t>Festive Gown</t>
  </si>
  <si>
    <t>UT-100128</t>
  </si>
  <si>
    <t>CUST_10127</t>
  </si>
  <si>
    <t>Silk Pants</t>
  </si>
  <si>
    <t>UT-100129</t>
  </si>
  <si>
    <t>CUST_10128</t>
  </si>
  <si>
    <t>Velvet Jacket</t>
  </si>
  <si>
    <t>UT-100130</t>
  </si>
  <si>
    <t>CUST_10129</t>
  </si>
  <si>
    <t>Tikka Headpiece</t>
  </si>
  <si>
    <t>UT-100131</t>
  </si>
  <si>
    <t>CUST_10130</t>
  </si>
  <si>
    <t>Gota Patti Top</t>
  </si>
  <si>
    <t>UT-100132</t>
  </si>
  <si>
    <t>CUST_10131</t>
  </si>
  <si>
    <t>Bandhani Dress</t>
  </si>
  <si>
    <t>UT-100133</t>
  </si>
  <si>
    <t>CUST_10132</t>
  </si>
  <si>
    <t>Brocade Pants</t>
  </si>
  <si>
    <t>UT-100134</t>
  </si>
  <si>
    <t>CUST_10133</t>
  </si>
  <si>
    <t>Zari Work Jacket</t>
  </si>
  <si>
    <t>UT-100135</t>
  </si>
  <si>
    <t>CUST_10134</t>
  </si>
  <si>
    <t>Jhumka Earrings</t>
  </si>
  <si>
    <t>UT-100136</t>
  </si>
  <si>
    <t>CUST_10135</t>
  </si>
  <si>
    <t>Mirror Work Top</t>
  </si>
  <si>
    <t>UT-100137</t>
  </si>
  <si>
    <t>CUST_10136</t>
  </si>
  <si>
    <t>Patiala Suit</t>
  </si>
  <si>
    <t>UT-100138</t>
  </si>
  <si>
    <t>CUST_10137</t>
  </si>
  <si>
    <t>Dhoti Pants</t>
  </si>
  <si>
    <t>UT-100139</t>
  </si>
  <si>
    <t>CUST_10138</t>
  </si>
  <si>
    <t>Katan Silk Jacket</t>
  </si>
  <si>
    <t>UT-100140</t>
  </si>
  <si>
    <t>CUST_10139</t>
  </si>
  <si>
    <t>Kundan Set</t>
  </si>
  <si>
    <t>UT-100141</t>
  </si>
  <si>
    <t>CUST_10140</t>
  </si>
  <si>
    <t>Chikankari Top</t>
  </si>
  <si>
    <t>UT-100142</t>
  </si>
  <si>
    <t>CUST_10141</t>
  </si>
  <si>
    <t>Sharara Set</t>
  </si>
  <si>
    <t>UT-100143</t>
  </si>
  <si>
    <t>CUST_10142</t>
  </si>
  <si>
    <t>Gharara Pants</t>
  </si>
  <si>
    <t>UT-100144</t>
  </si>
  <si>
    <t>CUST_10143</t>
  </si>
  <si>
    <t>Phulkari Jacket</t>
  </si>
  <si>
    <t>UT-100145</t>
  </si>
  <si>
    <t>CUST_10144</t>
  </si>
  <si>
    <t>Mang Patti</t>
  </si>
  <si>
    <t>UT-100146</t>
  </si>
  <si>
    <t>CUST_10145</t>
  </si>
  <si>
    <t>Bandhej Top</t>
  </si>
  <si>
    <t>UT-100147</t>
  </si>
  <si>
    <t>CUST_10146</t>
  </si>
  <si>
    <t>Lucknowi Dress</t>
  </si>
  <si>
    <t>UT-100148</t>
  </si>
  <si>
    <t>CUST_10147</t>
  </si>
  <si>
    <t>Patiala Pants</t>
  </si>
  <si>
    <t>UT-100149</t>
  </si>
  <si>
    <t>CUST_10148</t>
  </si>
  <si>
    <t>Katha Work Jacket</t>
  </si>
  <si>
    <t>UT-100150</t>
  </si>
  <si>
    <t>CUST_10149</t>
  </si>
  <si>
    <t>Bangle Set</t>
  </si>
  <si>
    <t>UT-100151</t>
  </si>
  <si>
    <t>CUST_10150</t>
  </si>
  <si>
    <t>Kashmiri Top</t>
  </si>
  <si>
    <t>UT-100152</t>
  </si>
  <si>
    <t>CUST_10151</t>
  </si>
  <si>
    <t>Ikat Dress</t>
  </si>
  <si>
    <t>UT-100153</t>
  </si>
  <si>
    <t>CUST_10152</t>
  </si>
  <si>
    <t>Kalamkari Pants</t>
  </si>
  <si>
    <t>UT-100154</t>
  </si>
  <si>
    <t>CUST_10153</t>
  </si>
  <si>
    <t>Jacquard Jacket</t>
  </si>
  <si>
    <t>UT-100155</t>
  </si>
  <si>
    <t>CUST_10154</t>
  </si>
  <si>
    <t>Choker Necklace</t>
  </si>
  <si>
    <t>UT-100156</t>
  </si>
  <si>
    <t>CUST_10155</t>
  </si>
  <si>
    <t>Ajrakh Print Top</t>
  </si>
  <si>
    <t>UT-100157</t>
  </si>
  <si>
    <t>CUST_10156</t>
  </si>
  <si>
    <t>Block Print Dress</t>
  </si>
  <si>
    <t>UT-100158</t>
  </si>
  <si>
    <t>CUST_10157</t>
  </si>
  <si>
    <t>Tie Dye Pants</t>
  </si>
  <si>
    <t>UT-100159</t>
  </si>
  <si>
    <t>CUST_10158</t>
  </si>
  <si>
    <t>Embellished Jacket</t>
  </si>
  <si>
    <t>UT-100160</t>
  </si>
  <si>
    <t>CUST_10159</t>
  </si>
  <si>
    <t>Hair Clip Set</t>
  </si>
  <si>
    <t>UT-100161</t>
  </si>
  <si>
    <t>CUST_10160</t>
  </si>
  <si>
    <t>Printed Kurta</t>
  </si>
  <si>
    <t>UT-100162</t>
  </si>
  <si>
    <t>CUST_10161</t>
  </si>
  <si>
    <t>Floral Print Dress</t>
  </si>
  <si>
    <t>UT-100163</t>
  </si>
  <si>
    <t>CUST_10162</t>
  </si>
  <si>
    <t>Polka Dot Pants</t>
  </si>
  <si>
    <t>UT-100164</t>
  </si>
  <si>
    <t>CUST_10163</t>
  </si>
  <si>
    <t>Striped Blazer</t>
  </si>
  <si>
    <t>UT-100165</t>
  </si>
  <si>
    <t>CUST_10164</t>
  </si>
  <si>
    <t>Tassel Earrings</t>
  </si>
  <si>
    <t>UT-100166</t>
  </si>
  <si>
    <t>CUST_10165</t>
  </si>
  <si>
    <t>Sleeve Detail Top</t>
  </si>
  <si>
    <t>UT-100167</t>
  </si>
  <si>
    <t>CUST_10166</t>
  </si>
  <si>
    <t>Asymmetric Dress</t>
  </si>
  <si>
    <t>UT-100168</t>
  </si>
  <si>
    <t>CUST_10167</t>
  </si>
  <si>
    <t>Fringe Pants</t>
  </si>
  <si>
    <t>UT-100169</t>
  </si>
  <si>
    <t>CUST_10168</t>
  </si>
  <si>
    <t>Tweed Jacket</t>
  </si>
  <si>
    <t>UT-100170</t>
  </si>
  <si>
    <t>CUST_10169</t>
  </si>
  <si>
    <t>Brooch Pin</t>
  </si>
  <si>
    <t>UT-100171</t>
  </si>
  <si>
    <t>CUST_10170</t>
  </si>
  <si>
    <t>Macrame Top</t>
  </si>
  <si>
    <t>UT-100172</t>
  </si>
  <si>
    <t>CUST_10171</t>
  </si>
  <si>
    <t>Pleated Midi Dress</t>
  </si>
  <si>
    <t>UT-100173</t>
  </si>
  <si>
    <t>CUST_10172</t>
  </si>
  <si>
    <t>Velvet Pants</t>
  </si>
  <si>
    <t>UT-100174</t>
  </si>
  <si>
    <t>CUST_10173</t>
  </si>
  <si>
    <t>Check Coat</t>
  </si>
  <si>
    <t>UT-100175</t>
  </si>
  <si>
    <t>CUST_10174</t>
  </si>
  <si>
    <t>Woven Bag</t>
  </si>
  <si>
    <t>UT-100176</t>
  </si>
  <si>
    <t>CUST_10175</t>
  </si>
  <si>
    <t>Balloon Sleeve Top</t>
  </si>
  <si>
    <t>UT-100177</t>
  </si>
  <si>
    <t>CUST_10176</t>
  </si>
  <si>
    <t>Crochet Dress</t>
  </si>
  <si>
    <t>UT-100178</t>
  </si>
  <si>
    <t>CUST_10177</t>
  </si>
  <si>
    <t>Patchwork Pants</t>
  </si>
  <si>
    <t>UT-100179</t>
  </si>
  <si>
    <t>CUST_10178</t>
  </si>
  <si>
    <t>Herringbone Coat</t>
  </si>
  <si>
    <t>UT-100180</t>
  </si>
  <si>
    <t>CUST_10179</t>
  </si>
  <si>
    <t>Metal Belt</t>
  </si>
  <si>
    <t>UT-100181</t>
  </si>
  <si>
    <t>CUST_10180</t>
  </si>
  <si>
    <t>Rouched Top</t>
  </si>
  <si>
    <t>UT-100182</t>
  </si>
  <si>
    <t>CUST_10181</t>
  </si>
  <si>
    <t>Tiered Ruffle Dress</t>
  </si>
  <si>
    <t>UT-100183</t>
  </si>
  <si>
    <t>CUST_10182</t>
  </si>
  <si>
    <t>Banded Pants</t>
  </si>
  <si>
    <t>UT-100184</t>
  </si>
  <si>
    <t>CUST_10183</t>
  </si>
  <si>
    <t>Camel Coat</t>
  </si>
  <si>
    <t>UT-100185</t>
  </si>
  <si>
    <t>CUST_10184</t>
  </si>
  <si>
    <t>Stone Necklace</t>
  </si>
  <si>
    <t>UT-100186</t>
  </si>
  <si>
    <t>CUST_10185</t>
  </si>
  <si>
    <t>Knotted Top</t>
  </si>
  <si>
    <t>UT-100187</t>
  </si>
  <si>
    <t>CUST_10186</t>
  </si>
  <si>
    <t>Sequin Midi Dress</t>
  </si>
  <si>
    <t>UT-100188</t>
  </si>
  <si>
    <t>CUST_10187</t>
  </si>
  <si>
    <t>Glitter Pants</t>
  </si>
  <si>
    <t>UT-100189</t>
  </si>
  <si>
    <t>CUST_10188</t>
  </si>
  <si>
    <t>Faux Fur Jacket</t>
  </si>
  <si>
    <t>UT-100190</t>
  </si>
  <si>
    <t>CUST_10189</t>
  </si>
  <si>
    <t>Charm Anklet</t>
  </si>
  <si>
    <t>UT-100191</t>
  </si>
  <si>
    <t>CUST_10190</t>
  </si>
  <si>
    <t>Textured Top</t>
  </si>
  <si>
    <t>UT-100192</t>
  </si>
  <si>
    <t>CUST_10191</t>
  </si>
  <si>
    <t>Velour Dress</t>
  </si>
  <si>
    <t>UT-100193</t>
  </si>
  <si>
    <t>CUST_10192</t>
  </si>
  <si>
    <t>Satin Pants</t>
  </si>
  <si>
    <t>UT-100194</t>
  </si>
  <si>
    <t>CUST_10193</t>
  </si>
  <si>
    <t>Shiny Jacket</t>
  </si>
  <si>
    <t>UT-100195</t>
  </si>
  <si>
    <t>CUST_10194</t>
  </si>
  <si>
    <t>Pearl Earrings</t>
  </si>
  <si>
    <t>UT-100196</t>
  </si>
  <si>
    <t>CUST_10195</t>
  </si>
  <si>
    <t>Metallic Top</t>
  </si>
  <si>
    <t>UT-100197</t>
  </si>
  <si>
    <t>CUST_10196</t>
  </si>
  <si>
    <t>Glamour Dress</t>
  </si>
  <si>
    <t>UT-100198</t>
  </si>
  <si>
    <t>CUST_10197</t>
  </si>
  <si>
    <t>Lame Pants</t>
  </si>
  <si>
    <t>UT-100199</t>
  </si>
  <si>
    <t>CUST_10198</t>
  </si>
  <si>
    <t>Sparkle Jacket</t>
  </si>
  <si>
    <t>UT-100200</t>
  </si>
  <si>
    <t>CUST_10199</t>
  </si>
  <si>
    <t>Crystal Bracelet</t>
  </si>
  <si>
    <t>UT-100201</t>
  </si>
  <si>
    <t>CUST_10200</t>
  </si>
  <si>
    <t>Sheer Top</t>
  </si>
  <si>
    <t>UT-100202</t>
  </si>
  <si>
    <t>CUST_10201</t>
  </si>
  <si>
    <t>Chiffon Dress</t>
  </si>
  <si>
    <t>UT-100203</t>
  </si>
  <si>
    <t>CUST_10202</t>
  </si>
  <si>
    <t>Organza Pants</t>
  </si>
  <si>
    <t>UT-100204</t>
  </si>
  <si>
    <t>CUST_10203</t>
  </si>
  <si>
    <t>Metallic Coat</t>
  </si>
  <si>
    <t>UT-100205</t>
  </si>
  <si>
    <t>CUST_10204</t>
  </si>
  <si>
    <t>Diamond Studs</t>
  </si>
  <si>
    <t>UT-100206</t>
  </si>
  <si>
    <t>CUST_10205</t>
  </si>
  <si>
    <t>Beaded Top</t>
  </si>
  <si>
    <t>UT-100207</t>
  </si>
  <si>
    <t>CUST_10206</t>
  </si>
  <si>
    <t>Sparkle Gown</t>
  </si>
  <si>
    <t>UT-100208</t>
  </si>
  <si>
    <t>CUST_10207</t>
  </si>
  <si>
    <t>Embroidered Pants</t>
  </si>
  <si>
    <t>UT-100209</t>
  </si>
  <si>
    <t>CUST_10208</t>
  </si>
  <si>
    <t>NYE Jacket</t>
  </si>
  <si>
    <t>UT-100210</t>
  </si>
  <si>
    <t>CUST_10209</t>
  </si>
  <si>
    <t>Gold Cuff</t>
  </si>
  <si>
    <t>UT-100211</t>
  </si>
  <si>
    <t>CUST_10210</t>
  </si>
  <si>
    <t>Feather Top</t>
  </si>
  <si>
    <t>UT-100212</t>
  </si>
  <si>
    <t>CUST_10211</t>
  </si>
  <si>
    <t>Cocktail Dress</t>
  </si>
  <si>
    <t>UT-100213</t>
  </si>
  <si>
    <t>CUST_10212</t>
  </si>
  <si>
    <t>Sequin Skirt</t>
  </si>
  <si>
    <t>UT-100214</t>
  </si>
  <si>
    <t>CUST_10213</t>
  </si>
  <si>
    <t>Party Jacket</t>
  </si>
  <si>
    <t>UT-100215</t>
  </si>
  <si>
    <t>CUST_10214</t>
  </si>
  <si>
    <t>Silver Bangle</t>
  </si>
  <si>
    <t>UT-100216</t>
  </si>
  <si>
    <t>CUST_10215</t>
  </si>
  <si>
    <t>Glitter Tank</t>
  </si>
  <si>
    <t>UT-100217</t>
  </si>
  <si>
    <t>CUST_10216</t>
  </si>
  <si>
    <t>Star Print Dress</t>
  </si>
  <si>
    <t>UT-100218</t>
  </si>
  <si>
    <t>CUST_10217</t>
  </si>
  <si>
    <t>Metallic Pants</t>
  </si>
  <si>
    <t>UT-100219</t>
  </si>
  <si>
    <t>CUST_10218</t>
  </si>
  <si>
    <t>Formal Coat</t>
  </si>
  <si>
    <t>UT-100220</t>
  </si>
  <si>
    <t>CUST_10219</t>
  </si>
  <si>
    <t>Ribbon Choker</t>
  </si>
  <si>
    <t>UT-100221</t>
  </si>
  <si>
    <t>CUST_10220</t>
  </si>
  <si>
    <t>Vinyl Top</t>
  </si>
  <si>
    <t>UT-100222</t>
  </si>
  <si>
    <t>CUST_10221</t>
  </si>
  <si>
    <t>New Year Gown</t>
  </si>
  <si>
    <t>UT-100223</t>
  </si>
  <si>
    <t>CUST_10222</t>
  </si>
  <si>
    <t>Latex Pants</t>
  </si>
  <si>
    <t>UT-100224</t>
  </si>
  <si>
    <t>CUST_10223</t>
  </si>
  <si>
    <t>Glam Jacket</t>
  </si>
  <si>
    <t>UT-100225</t>
  </si>
  <si>
    <t>CUST_10224</t>
  </si>
  <si>
    <t>Gemstone Ring</t>
  </si>
  <si>
    <t>UT-100226</t>
  </si>
  <si>
    <t>CUST_10225</t>
  </si>
  <si>
    <t>Zip Hoodie</t>
  </si>
  <si>
    <t>UT-100227</t>
  </si>
  <si>
    <t>CUST_10226</t>
  </si>
  <si>
    <t>Puffer Coat</t>
  </si>
  <si>
    <t>UT-100228</t>
  </si>
  <si>
    <t>CUST_10227</t>
  </si>
  <si>
    <t>Cashmere Scarf</t>
  </si>
  <si>
    <t>UT-100229</t>
  </si>
  <si>
    <t>CUST_10228</t>
  </si>
  <si>
    <t>Pleated Dress</t>
  </si>
  <si>
    <t>UT-100230</t>
  </si>
  <si>
    <t>CUST_10229</t>
  </si>
  <si>
    <t>Thermal Top</t>
  </si>
  <si>
    <t>Shimla</t>
  </si>
  <si>
    <t>Himachal Pradesh</t>
  </si>
  <si>
    <t>UT-100231</t>
  </si>
  <si>
    <t>CUST_10230</t>
  </si>
  <si>
    <t>Fleece Joggers</t>
  </si>
  <si>
    <t>Dehradun</t>
  </si>
  <si>
    <t>Uttarakhand</t>
  </si>
  <si>
    <t>UT-100232</t>
  </si>
  <si>
    <t>CUST_10231</t>
  </si>
  <si>
    <t>Srinagar</t>
  </si>
  <si>
    <t>Jammu &amp; Kashmir</t>
  </si>
  <si>
    <t>UT-100233</t>
  </si>
  <si>
    <t>CUST_10232</t>
  </si>
  <si>
    <t>Beanie Cap</t>
  </si>
  <si>
    <t>Manali</t>
  </si>
  <si>
    <t>UT-100234</t>
  </si>
  <si>
    <t>CUST_10233</t>
  </si>
  <si>
    <t>Cropped Sweater</t>
  </si>
  <si>
    <t>Darjeeling</t>
  </si>
  <si>
    <t>UT-100235</t>
  </si>
  <si>
    <t>CUST_10234</t>
  </si>
  <si>
    <t>Gangtok</t>
  </si>
  <si>
    <t>Sikkim</t>
  </si>
  <si>
    <t>UT-100236</t>
  </si>
  <si>
    <t>CUST_10235</t>
  </si>
  <si>
    <t>Wool Trousers</t>
  </si>
  <si>
    <t>Shillong</t>
  </si>
  <si>
    <t>Meghalaya</t>
  </si>
  <si>
    <t>UT-100237</t>
  </si>
  <si>
    <t>CUST_10236</t>
  </si>
  <si>
    <t>Down Jacket</t>
  </si>
  <si>
    <t>Leh</t>
  </si>
  <si>
    <t>Ladakh</t>
  </si>
  <si>
    <t>UT-100238</t>
  </si>
  <si>
    <t>CUST_10237</t>
  </si>
  <si>
    <t>Velvet Top</t>
  </si>
  <si>
    <t>Ooty</t>
  </si>
  <si>
    <t>UT-100239</t>
  </si>
  <si>
    <t>CUST_10238</t>
  </si>
  <si>
    <t>Ear Muffs</t>
  </si>
  <si>
    <t>Munnar</t>
  </si>
  <si>
    <t>UT-100240</t>
  </si>
  <si>
    <t>CUST_10239</t>
  </si>
  <si>
    <t>Sequin Party Dress</t>
  </si>
  <si>
    <t>Goa</t>
  </si>
  <si>
    <t>UT-100241</t>
  </si>
  <si>
    <t>CUST_10240</t>
  </si>
  <si>
    <t>Sparkle Top</t>
  </si>
  <si>
    <t>UT-100242</t>
  </si>
  <si>
    <t>CUST_10241</t>
  </si>
  <si>
    <t>UT-100243</t>
  </si>
  <si>
    <t>CUST_10242</t>
  </si>
  <si>
    <t>Faux Fur Coat</t>
  </si>
  <si>
    <t>UT-100244</t>
  </si>
  <si>
    <t>CUST_10243</t>
  </si>
  <si>
    <t>Evening Clutch</t>
  </si>
  <si>
    <t>UT-100245</t>
  </si>
  <si>
    <t>CUST_10244</t>
  </si>
  <si>
    <t>Metallic Blouse</t>
  </si>
  <si>
    <t>UT-100246</t>
  </si>
  <si>
    <t>CUST_10245</t>
  </si>
  <si>
    <t>Glitter Dress</t>
  </si>
  <si>
    <t>UT-100247</t>
  </si>
  <si>
    <t>CUST_10246</t>
  </si>
  <si>
    <t>Silk Trousers</t>
  </si>
  <si>
    <t>UT-100248</t>
  </si>
  <si>
    <t>CUST_10247</t>
  </si>
  <si>
    <t>Velvet Cape</t>
  </si>
  <si>
    <t>UT-100249</t>
  </si>
  <si>
    <t>CUST_10248</t>
  </si>
  <si>
    <t>Embellished Handbag</t>
  </si>
  <si>
    <t>UT-100250</t>
  </si>
  <si>
    <t>CUST_10249</t>
  </si>
  <si>
    <t>Party Bodysuit</t>
  </si>
  <si>
    <t>UT-100251</t>
  </si>
  <si>
    <t>CUST_10250</t>
  </si>
  <si>
    <t>UT-100252</t>
  </si>
  <si>
    <t>CUST_10251</t>
  </si>
  <si>
    <t>UT-100253</t>
  </si>
  <si>
    <t>CUST_10252</t>
  </si>
  <si>
    <t>Tuxedo Blazer</t>
  </si>
  <si>
    <t>UT-100254</t>
  </si>
  <si>
    <t>CUST_10253</t>
  </si>
  <si>
    <t>Tiara Headband</t>
  </si>
  <si>
    <t>UT-100255</t>
  </si>
  <si>
    <t>CUST_10254</t>
  </si>
  <si>
    <t>UT-100256</t>
  </si>
  <si>
    <t>CUST_10255</t>
  </si>
  <si>
    <t>Balloon Sleeve Dress</t>
  </si>
  <si>
    <t>UT-100257</t>
  </si>
  <si>
    <t>CUST_10256</t>
  </si>
  <si>
    <t>UT-100258</t>
  </si>
  <si>
    <t>CUST_10257</t>
  </si>
  <si>
    <t>Sequin Jacket</t>
  </si>
  <si>
    <t>UT-100259</t>
  </si>
  <si>
    <t>CUST_10258</t>
  </si>
  <si>
    <t>Party Earrings</t>
  </si>
  <si>
    <t>UT-100260</t>
  </si>
  <si>
    <t>CUST_10259</t>
  </si>
  <si>
    <t>Feather Trim Top</t>
  </si>
  <si>
    <t>UT-100261</t>
  </si>
  <si>
    <t>CUST_10260</t>
  </si>
  <si>
    <t>Party Maxi</t>
  </si>
  <si>
    <t>UT-100262</t>
  </si>
  <si>
    <t>CUST_10261</t>
  </si>
  <si>
    <t>Glam Pants</t>
  </si>
  <si>
    <t>UT-100263</t>
  </si>
  <si>
    <t>CUST_10262</t>
  </si>
  <si>
    <t>Lame Blazer</t>
  </si>
  <si>
    <t>UT-100264</t>
  </si>
  <si>
    <t>CUST_10263</t>
  </si>
  <si>
    <t>NYE Headpiece</t>
  </si>
  <si>
    <t>UT-100265</t>
  </si>
  <si>
    <t>CUST_10264</t>
  </si>
  <si>
    <t>Shimmer Top</t>
  </si>
  <si>
    <t>UT-100266</t>
  </si>
  <si>
    <t>CUST_10265</t>
  </si>
  <si>
    <t>Countdown Dress</t>
  </si>
  <si>
    <t>UT-100267</t>
  </si>
  <si>
    <t>CUST_10266</t>
  </si>
  <si>
    <t>Champagne Pants</t>
  </si>
  <si>
    <t>UT-100268</t>
  </si>
  <si>
    <t>CUST_10267</t>
  </si>
  <si>
    <t>Rose Gold Jacket</t>
  </si>
  <si>
    <t>UT-100269</t>
  </si>
  <si>
    <t>CUST_10268</t>
  </si>
  <si>
    <t>Mask Chain</t>
  </si>
  <si>
    <t>UT-100270</t>
  </si>
  <si>
    <t>CUST_10269</t>
  </si>
  <si>
    <t>Celebration Top</t>
  </si>
  <si>
    <t>UT-100271</t>
  </si>
  <si>
    <t>CUST_10270</t>
  </si>
  <si>
    <t>Midnight Dress</t>
  </si>
  <si>
    <t>UT-100272</t>
  </si>
  <si>
    <t>CUST_10271</t>
  </si>
  <si>
    <t>NYE Skirt</t>
  </si>
  <si>
    <t>UT-100273</t>
  </si>
  <si>
    <t>CUST_10272</t>
  </si>
  <si>
    <t>Frost Jacket</t>
  </si>
  <si>
    <t>UT-100274</t>
  </si>
  <si>
    <t>CUST_10273</t>
  </si>
  <si>
    <t>Sparkle Hair Clip</t>
  </si>
  <si>
    <t>UT-100275</t>
  </si>
  <si>
    <t>CUST_10274</t>
  </si>
  <si>
    <t>Glass Bead Top</t>
  </si>
  <si>
    <t>UT-100276</t>
  </si>
  <si>
    <t>CUST_10275</t>
  </si>
  <si>
    <t>Finale Gown</t>
  </si>
  <si>
    <t>UT-100277</t>
  </si>
  <si>
    <t>CUST_10276</t>
  </si>
  <si>
    <t>Party Leggings</t>
  </si>
  <si>
    <t>UT-100278</t>
  </si>
  <si>
    <t>CUST_10277</t>
  </si>
  <si>
    <t>Christmas Jacket</t>
  </si>
  <si>
    <t>UT-100279</t>
  </si>
  <si>
    <t>CUST_10278</t>
  </si>
  <si>
    <t>Blush Bag</t>
  </si>
  <si>
    <t>UT-100280</t>
  </si>
  <si>
    <t>CUST_10279</t>
  </si>
  <si>
    <t>Year End Top</t>
  </si>
  <si>
    <t>UT-100281</t>
  </si>
  <si>
    <t>CUST_10280</t>
  </si>
  <si>
    <t>Evening Elegance</t>
  </si>
  <si>
    <t>UT-100282</t>
  </si>
  <si>
    <t>CUST_10281</t>
  </si>
  <si>
    <t>Finish Line Pants</t>
  </si>
  <si>
    <t>UT-100283</t>
  </si>
  <si>
    <t>CUST_10282</t>
  </si>
  <si>
    <t>NYE Blazer</t>
  </si>
  <si>
    <t>UT-100284</t>
  </si>
  <si>
    <t>CUST_10283</t>
  </si>
  <si>
    <t>Countdown Earrings</t>
  </si>
  <si>
    <t>UT-100285</t>
  </si>
  <si>
    <t>CUST_10284</t>
  </si>
  <si>
    <t>Last Dance Top</t>
  </si>
  <si>
    <t>UT-100286</t>
  </si>
  <si>
    <t>CUST_10285</t>
  </si>
  <si>
    <t>Bliss Dress</t>
  </si>
  <si>
    <t>UT-100287</t>
  </si>
  <si>
    <t>CUST_10286</t>
  </si>
  <si>
    <t>Year End Pants</t>
  </si>
  <si>
    <t>UT-100288</t>
  </si>
  <si>
    <t>CUST_10287</t>
  </si>
  <si>
    <t>Celebration Blazer</t>
  </si>
  <si>
    <t>UT-100289</t>
  </si>
  <si>
    <t>CUST_10288</t>
  </si>
  <si>
    <t>Finale Necklace</t>
  </si>
  <si>
    <t>UT-100290</t>
  </si>
  <si>
    <t>CUST_10289</t>
  </si>
  <si>
    <t>Party Essential Top</t>
  </si>
  <si>
    <t>UT-100291</t>
  </si>
  <si>
    <t>CUST_10290</t>
  </si>
  <si>
    <t>Shine On Dress</t>
  </si>
  <si>
    <t>UT-100292</t>
  </si>
  <si>
    <t>CUST_10291</t>
  </si>
  <si>
    <t>Gold Rush Pants</t>
  </si>
  <si>
    <t>UT-100293</t>
  </si>
  <si>
    <t>CUST_10292</t>
  </si>
  <si>
    <t>Dazzle Jacket</t>
  </si>
  <si>
    <t>UT-100294</t>
  </si>
  <si>
    <t>CUST_10293</t>
  </si>
  <si>
    <t>Glow Bracelet</t>
  </si>
  <si>
    <t>UT-100295</t>
  </si>
  <si>
    <t>CUST_10294</t>
  </si>
  <si>
    <t>Celebrate Top</t>
  </si>
  <si>
    <t>UT-100296</t>
  </si>
  <si>
    <t>CUST_10295</t>
  </si>
  <si>
    <t>Ready to Party Dress</t>
  </si>
  <si>
    <t>UT-100297</t>
  </si>
  <si>
    <t>CUST_10296</t>
  </si>
  <si>
    <t>Bright Night Pants</t>
  </si>
  <si>
    <t>UT-100298</t>
  </si>
  <si>
    <t>CUST_10297</t>
  </si>
  <si>
    <t>End of Year Coat</t>
  </si>
  <si>
    <t>UT-100299</t>
  </si>
  <si>
    <t>CUST_10298</t>
  </si>
  <si>
    <t>Merry Earrings</t>
  </si>
  <si>
    <t>UT-100300</t>
  </si>
  <si>
    <t>CUST_10299</t>
  </si>
  <si>
    <t>Joyful Top</t>
  </si>
  <si>
    <t>UT-100301</t>
  </si>
  <si>
    <t>CUST_10300</t>
  </si>
  <si>
    <t>Winter Wonder Dress</t>
  </si>
  <si>
    <t>UT-100302</t>
  </si>
  <si>
    <t>CUST_10301</t>
  </si>
  <si>
    <t>Festive Pants</t>
  </si>
  <si>
    <t>UT-100303</t>
  </si>
  <si>
    <t>CUST_10302</t>
  </si>
  <si>
    <t>Holiday Jacket</t>
  </si>
  <si>
    <t>UT-100304</t>
  </si>
  <si>
    <t>CUST_10303</t>
  </si>
  <si>
    <t>Christmas Brooch</t>
  </si>
  <si>
    <t>UT-100305</t>
  </si>
  <si>
    <t>CUST_10304</t>
  </si>
  <si>
    <t>Snow White Top</t>
  </si>
  <si>
    <t>UT-100306</t>
  </si>
  <si>
    <t>CUST_10305</t>
  </si>
  <si>
    <t>Ice Queen Dress</t>
  </si>
  <si>
    <t>UT-100307</t>
  </si>
  <si>
    <t>CUST_10306</t>
  </si>
  <si>
    <t>Frozen Pants</t>
  </si>
  <si>
    <t>UT-100308</t>
  </si>
  <si>
    <t>CUST_10307</t>
  </si>
  <si>
    <t>Winter Wonderland Coat</t>
  </si>
  <si>
    <t>UT-100309</t>
  </si>
  <si>
    <t>CUST_10308</t>
  </si>
  <si>
    <t>Snowflake Pendant</t>
  </si>
  <si>
    <t>UT-100310</t>
  </si>
  <si>
    <t>CUST_10309</t>
  </si>
  <si>
    <t>Christmas Spirit Top</t>
  </si>
  <si>
    <t>UT-100311</t>
  </si>
  <si>
    <t>CUST_10310</t>
  </si>
  <si>
    <t>New Year Ready Dress</t>
  </si>
  <si>
    <t>UT-100312</t>
  </si>
  <si>
    <t>CUST_10311</t>
  </si>
  <si>
    <t>Holiday Special Pants</t>
  </si>
  <si>
    <t>UT-100313</t>
  </si>
  <si>
    <t>CUST_10312</t>
  </si>
  <si>
    <t>Celebrate Blazer</t>
  </si>
  <si>
    <t>UT-100314</t>
  </si>
  <si>
    <t>CUST_10313</t>
  </si>
  <si>
    <t>Warm Wishes Scarf</t>
  </si>
  <si>
    <t>UT-100315</t>
  </si>
  <si>
    <t>CUST_10314</t>
  </si>
  <si>
    <t>Snowflake Top</t>
  </si>
  <si>
    <t>UT-100316</t>
  </si>
  <si>
    <t>CUST_10315</t>
  </si>
  <si>
    <t>Sparkle Season Dress</t>
  </si>
  <si>
    <t>UT-100317</t>
  </si>
  <si>
    <t>CUST_10316</t>
  </si>
  <si>
    <t>Cheer Pants</t>
  </si>
  <si>
    <t>UT-100318</t>
  </si>
  <si>
    <t>CUST_10317</t>
  </si>
  <si>
    <t>Christmas Coat</t>
  </si>
  <si>
    <t>UT-100319</t>
  </si>
  <si>
    <t>CUST_10318</t>
  </si>
  <si>
    <t>Bell Earrings</t>
  </si>
  <si>
    <t>UT-100320</t>
  </si>
  <si>
    <t>CUST_10319</t>
  </si>
  <si>
    <t>Reindeer Top</t>
  </si>
  <si>
    <t>UT-100321</t>
  </si>
  <si>
    <t>CUST_10320</t>
  </si>
  <si>
    <t>Star Bright Dress</t>
  </si>
  <si>
    <t>UT-100322</t>
  </si>
  <si>
    <t>CUST_10321</t>
  </si>
  <si>
    <t>Merry Leggings</t>
  </si>
  <si>
    <t>UT-100323</t>
  </si>
  <si>
    <t>CUST_10322</t>
  </si>
  <si>
    <t>Jolly Jacket</t>
  </si>
  <si>
    <t>UT-100324</t>
  </si>
  <si>
    <t>CUST_10323</t>
  </si>
  <si>
    <t>Gift Box Clutch</t>
  </si>
  <si>
    <t>UT-100325</t>
  </si>
  <si>
    <t>CUST_10324</t>
  </si>
  <si>
    <t>Holly Top</t>
  </si>
  <si>
    <t>UT-100326</t>
  </si>
  <si>
    <t>CUST_10325</t>
  </si>
  <si>
    <t>Boxing Day Dress</t>
  </si>
  <si>
    <t>UT-100327</t>
  </si>
  <si>
    <t>CUST_10326</t>
  </si>
  <si>
    <t>Sale Season Pants</t>
  </si>
  <si>
    <t>UT-100328</t>
  </si>
  <si>
    <t>CUST_10327</t>
  </si>
  <si>
    <t>Sale Special Coat</t>
  </si>
  <si>
    <t>UT-100329</t>
  </si>
  <si>
    <t>CUST_10328</t>
  </si>
  <si>
    <t>Discount Find Bag</t>
  </si>
  <si>
    <t>UT-100330</t>
  </si>
  <si>
    <t>CUST_10329</t>
  </si>
  <si>
    <t>Clearance Top</t>
  </si>
  <si>
    <t>UT-100331</t>
  </si>
  <si>
    <t>CUST_10330</t>
  </si>
  <si>
    <t>Year End Dress</t>
  </si>
  <si>
    <t>UT-100332</t>
  </si>
  <si>
    <t>CUST_10331</t>
  </si>
  <si>
    <t>Final Sale Pants</t>
  </si>
  <si>
    <t>UT-100333</t>
  </si>
  <si>
    <t>CUST_10332</t>
  </si>
  <si>
    <t>Last Chance Jacket</t>
  </si>
  <si>
    <t>UT-100334</t>
  </si>
  <si>
    <t>CUST_10333</t>
  </si>
  <si>
    <t>New Year Tiara</t>
  </si>
  <si>
    <t>UT-100335</t>
  </si>
  <si>
    <t>CUST_10334</t>
  </si>
  <si>
    <t>Goodbye 2024 Top</t>
  </si>
  <si>
    <t>UT-100336</t>
  </si>
  <si>
    <t>CUST_10335</t>
  </si>
  <si>
    <t>Welcome 2025 Dress</t>
  </si>
  <si>
    <t>UT-100337</t>
  </si>
  <si>
    <t>CUST_10336</t>
  </si>
  <si>
    <t>Resolution Pants</t>
  </si>
  <si>
    <t>UT-100338</t>
  </si>
  <si>
    <t>CUST_10337</t>
  </si>
  <si>
    <t>Hope Coat</t>
  </si>
  <si>
    <t>UT-100339</t>
  </si>
  <si>
    <t>CUST_10338</t>
  </si>
  <si>
    <t>Dream Catcher Earrings</t>
  </si>
  <si>
    <t>UT-100340</t>
  </si>
  <si>
    <t>CUST_10340</t>
  </si>
  <si>
    <t>Wishes Top</t>
  </si>
  <si>
    <t>UT-100341</t>
  </si>
  <si>
    <t>Promise Dress</t>
  </si>
  <si>
    <t>UT-100342</t>
  </si>
  <si>
    <t>CUST_10341</t>
  </si>
  <si>
    <t>New Beginning Pants</t>
  </si>
  <si>
    <t>UT-100343</t>
  </si>
  <si>
    <t>CUST_10342</t>
  </si>
  <si>
    <t>Fresh Start Jacket</t>
  </si>
  <si>
    <t>UT-100344</t>
  </si>
  <si>
    <t>CUST_10343</t>
  </si>
  <si>
    <t>Lucky Charm Bracelet</t>
  </si>
  <si>
    <t>UT-100345</t>
  </si>
  <si>
    <t>CUST_10344</t>
  </si>
  <si>
    <t>Begin Again Top</t>
  </si>
  <si>
    <t>UT-100346</t>
  </si>
  <si>
    <t>CUST_10345</t>
  </si>
  <si>
    <t>No code</t>
  </si>
  <si>
    <t>Not applicable</t>
  </si>
  <si>
    <t>ACCANKOS</t>
  </si>
  <si>
    <t>ACCBAGOS</t>
  </si>
  <si>
    <t>ACCBDYOS</t>
  </si>
  <si>
    <t>ACCBELOS</t>
  </si>
  <si>
    <t>ACCBLSOS</t>
  </si>
  <si>
    <t>ACCBLTM</t>
  </si>
  <si>
    <t>ACCBLTS</t>
  </si>
  <si>
    <t>ACCBNEOS</t>
  </si>
  <si>
    <t>ACCBNGOS</t>
  </si>
  <si>
    <t>ACCBRCOS</t>
  </si>
  <si>
    <t>ACCCFFOS</t>
  </si>
  <si>
    <t>ACCCHMOS</t>
  </si>
  <si>
    <t>ACCCHNOS</t>
  </si>
  <si>
    <t>ACCCHROS</t>
  </si>
  <si>
    <t>ACCCLTOS</t>
  </si>
  <si>
    <t>ACCCNTOS</t>
  </si>
  <si>
    <t>ACCCRYOS</t>
  </si>
  <si>
    <t>ACCDISOS</t>
  </si>
  <si>
    <t>ACCDMDOS</t>
  </si>
  <si>
    <t>ACCDRMOS</t>
  </si>
  <si>
    <t>ACCEAROS</t>
  </si>
  <si>
    <t>ACCERMOS</t>
  </si>
  <si>
    <t>ACCFNLOS</t>
  </si>
  <si>
    <t>ACCGEMOS</t>
  </si>
  <si>
    <t>ACCGFTOS</t>
  </si>
  <si>
    <t>ACCGLDOS</t>
  </si>
  <si>
    <t>ACCGLWOS</t>
  </si>
  <si>
    <t>ACCHATOS</t>
  </si>
  <si>
    <t>ACCHBGOS</t>
  </si>
  <si>
    <t>ACCHDBOS</t>
  </si>
  <si>
    <t>ACCHDROS</t>
  </si>
  <si>
    <t>ACCHRMOS</t>
  </si>
  <si>
    <t>ACCJHMOS</t>
  </si>
  <si>
    <t>ACCJWLOS</t>
  </si>
  <si>
    <t>ACCKDNOS</t>
  </si>
  <si>
    <t>ACCLCKOS</t>
  </si>
  <si>
    <t>ACCMFLOS</t>
  </si>
  <si>
    <t>ACCMNGOS</t>
  </si>
  <si>
    <t>ACCMNPOS</t>
  </si>
  <si>
    <t>ACCMRYOS</t>
  </si>
  <si>
    <t>ACCMSKOS</t>
  </si>
  <si>
    <t>ACCMTLOS</t>
  </si>
  <si>
    <t>ACCNCKOS</t>
  </si>
  <si>
    <t>ACCNWYOS</t>
  </si>
  <si>
    <t>ACCNYEOS</t>
  </si>
  <si>
    <t>ACCPINOS</t>
  </si>
  <si>
    <t>ACCPRLOS</t>
  </si>
  <si>
    <t>ACCPRTOS</t>
  </si>
  <si>
    <t>ACCRBNOS</t>
  </si>
  <si>
    <t>ACCRNGOS</t>
  </si>
  <si>
    <t>ACCSCFOS</t>
  </si>
  <si>
    <t>ACCSCROS</t>
  </si>
  <si>
    <t>ACCSHDOS</t>
  </si>
  <si>
    <t>ACCSLVOS</t>
  </si>
  <si>
    <t>ACCSNFOS</t>
  </si>
  <si>
    <t>ACCSNGOS</t>
  </si>
  <si>
    <t>ACCSPROS</t>
  </si>
  <si>
    <t>ACCSTLOS</t>
  </si>
  <si>
    <t>ACCSTNOS</t>
  </si>
  <si>
    <t>ACCTBROS</t>
  </si>
  <si>
    <t>ACCTKAOS</t>
  </si>
  <si>
    <t>ACCTOTOS</t>
  </si>
  <si>
    <t>ACCTRAOS</t>
  </si>
  <si>
    <t>ACCWCHOS</t>
  </si>
  <si>
    <t>ACCWRMOS</t>
  </si>
  <si>
    <t>ACCWVNOS</t>
  </si>
  <si>
    <t>BOTBNDL</t>
  </si>
  <si>
    <t>BOTBRCL</t>
  </si>
  <si>
    <t>BOTBRTM</t>
  </si>
  <si>
    <t>BOTCHMS</t>
  </si>
  <si>
    <t>BOTCHPM</t>
  </si>
  <si>
    <t>BOTCHRM</t>
  </si>
  <si>
    <t>BOTCRGL</t>
  </si>
  <si>
    <t>BOTCRGS</t>
  </si>
  <si>
    <t>BOTCRPS</t>
  </si>
  <si>
    <t>BOTCUTM</t>
  </si>
  <si>
    <t>BOTDHTL</t>
  </si>
  <si>
    <t>BOTDNMS</t>
  </si>
  <si>
    <t>BOTDOTM</t>
  </si>
  <si>
    <t>BOTEMBS</t>
  </si>
  <si>
    <t>BOTENDL</t>
  </si>
  <si>
    <t>BOTETHM</t>
  </si>
  <si>
    <t>BOTFLCM</t>
  </si>
  <si>
    <t>BOTFLRS</t>
  </si>
  <si>
    <t>BOTFNLS</t>
  </si>
  <si>
    <t>BOTFNSM</t>
  </si>
  <si>
    <t>BOTFRNL</t>
  </si>
  <si>
    <t>BOTFRZM</t>
  </si>
  <si>
    <t>BOTFSTS</t>
  </si>
  <si>
    <t>BOTGLDS</t>
  </si>
  <si>
    <t>BOTGLMS</t>
  </si>
  <si>
    <t>BOTGLTS</t>
  </si>
  <si>
    <t>BOTGRRM</t>
  </si>
  <si>
    <t>BOTHLDS</t>
  </si>
  <si>
    <t>BOTHRMM</t>
  </si>
  <si>
    <t>BOTJGRL</t>
  </si>
  <si>
    <t>BOTJGRM</t>
  </si>
  <si>
    <t>BOTJNSL</t>
  </si>
  <si>
    <t>BOTKLNM</t>
  </si>
  <si>
    <t>BOTLGNS</t>
  </si>
  <si>
    <t>BOTLHGS</t>
  </si>
  <si>
    <t>BOTLMEL</t>
  </si>
  <si>
    <t>BOTLTXS</t>
  </si>
  <si>
    <t>BOTMRYS</t>
  </si>
  <si>
    <t>BOTMTLM</t>
  </si>
  <si>
    <t>BOTNEWS</t>
  </si>
  <si>
    <t>BOTNYSM</t>
  </si>
  <si>
    <t>BOTORGM</t>
  </si>
  <si>
    <t>BOTPLTL</t>
  </si>
  <si>
    <t>BOTPLZL</t>
  </si>
  <si>
    <t>BOTPPRM</t>
  </si>
  <si>
    <t>BOTPRYS</t>
  </si>
  <si>
    <t>BOTPTLL</t>
  </si>
  <si>
    <t>BOTPTWM</t>
  </si>
  <si>
    <t>BOTRESM</t>
  </si>
  <si>
    <t>BOTSHTM</t>
  </si>
  <si>
    <t>BOTSKNM</t>
  </si>
  <si>
    <t>BOTSKTS</t>
  </si>
  <si>
    <t>BOTSLEM</t>
  </si>
  <si>
    <t>BOTSLKM</t>
  </si>
  <si>
    <t>BOTSLKS</t>
  </si>
  <si>
    <t>BOTSQNL</t>
  </si>
  <si>
    <t>BOTSQNM</t>
  </si>
  <si>
    <t>BOTSTNM</t>
  </si>
  <si>
    <t>BOTSTRL</t>
  </si>
  <si>
    <t>BOTTIES</t>
  </si>
  <si>
    <t>BOTTRSL</t>
  </si>
  <si>
    <t>BOTTRSM</t>
  </si>
  <si>
    <t>BOTVLTL</t>
  </si>
  <si>
    <t>BOTVLVS</t>
  </si>
  <si>
    <t>BOTWDEL</t>
  </si>
  <si>
    <t>BOTWIDM</t>
  </si>
  <si>
    <t>BOTWOLL</t>
  </si>
  <si>
    <t>DRSANKS</t>
  </si>
  <si>
    <t>DRSASYM</t>
  </si>
  <si>
    <t>DRSBDCS</t>
  </si>
  <si>
    <t>DRSBLBS</t>
  </si>
  <si>
    <t>DRSBLKL</t>
  </si>
  <si>
    <t>DRSBLSM</t>
  </si>
  <si>
    <t>DRSBNDM</t>
  </si>
  <si>
    <t>DRSBOXS</t>
  </si>
  <si>
    <t>DRSBTRM</t>
  </si>
  <si>
    <t>DRSCASM</t>
  </si>
  <si>
    <t>DRSCCKM</t>
  </si>
  <si>
    <t>DRSCCTS</t>
  </si>
  <si>
    <t>DRSCHFS</t>
  </si>
  <si>
    <t>DRSCNTL</t>
  </si>
  <si>
    <t>DRSCNTS</t>
  </si>
  <si>
    <t>DRSCROS</t>
  </si>
  <si>
    <t>DRSCTNL</t>
  </si>
  <si>
    <t>DRSENDL</t>
  </si>
  <si>
    <t>DRSEVES</t>
  </si>
  <si>
    <t>DRSFESL</t>
  </si>
  <si>
    <t>DRSFESM</t>
  </si>
  <si>
    <t>DRSFITS</t>
  </si>
  <si>
    <t>DRSFLRS</t>
  </si>
  <si>
    <t>DRSFNLL</t>
  </si>
  <si>
    <t>DRSFRMS</t>
  </si>
  <si>
    <t>DRSGLMM</t>
  </si>
  <si>
    <t>DRSGLTM</t>
  </si>
  <si>
    <t>DRSICES</t>
  </si>
  <si>
    <t>DRSIDRS</t>
  </si>
  <si>
    <t>DRSKNTS</t>
  </si>
  <si>
    <t>DRSLHGM</t>
  </si>
  <si>
    <t>DRSLKHM</t>
  </si>
  <si>
    <t>DRSLSTM</t>
  </si>
  <si>
    <t>DRSMAXM</t>
  </si>
  <si>
    <t>DRSMIDS</t>
  </si>
  <si>
    <t>DRSMXIL</t>
  </si>
  <si>
    <t>DRSNYEL</t>
  </si>
  <si>
    <t>DRSNYES</t>
  </si>
  <si>
    <t>DRSNYRL</t>
  </si>
  <si>
    <t>DRSPINM</t>
  </si>
  <si>
    <t>DRSPLTM</t>
  </si>
  <si>
    <t>DRSPLTS</t>
  </si>
  <si>
    <t>DRSPROL</t>
  </si>
  <si>
    <t>DRSPRTS</t>
  </si>
  <si>
    <t>DRSPRYM</t>
  </si>
  <si>
    <t>DRSPTLM</t>
  </si>
  <si>
    <t>DRSRDYS</t>
  </si>
  <si>
    <t>DRSRFLS</t>
  </si>
  <si>
    <t>DRSSARM</t>
  </si>
  <si>
    <t>DRSSHNL</t>
  </si>
  <si>
    <t>DRSSHRS</t>
  </si>
  <si>
    <t>DRSSHTXS</t>
  </si>
  <si>
    <t>DRSSLPM</t>
  </si>
  <si>
    <t>DRSSMKS</t>
  </si>
  <si>
    <t>DRSSPLL</t>
  </si>
  <si>
    <t>DRSSPRS</t>
  </si>
  <si>
    <t>DRSSQNL</t>
  </si>
  <si>
    <t>DRSSTRL</t>
  </si>
  <si>
    <t>DRSSTRS</t>
  </si>
  <si>
    <t>DRSSUNM</t>
  </si>
  <si>
    <t>DRSTIRS</t>
  </si>
  <si>
    <t>DRSTRFM</t>
  </si>
  <si>
    <t>DRSVLRS</t>
  </si>
  <si>
    <t>DRSWLCS</t>
  </si>
  <si>
    <t>DRSWNDL</t>
  </si>
  <si>
    <t>DRSWRKM</t>
  </si>
  <si>
    <t>DRSWRMM</t>
  </si>
  <si>
    <t>DRSWRPM</t>
  </si>
  <si>
    <t>OUTBLRL</t>
  </si>
  <si>
    <t>OUTBLSM</t>
  </si>
  <si>
    <t>OUTBLZM</t>
  </si>
  <si>
    <t>OUTBLZS</t>
  </si>
  <si>
    <t>OUTBOMM</t>
  </si>
  <si>
    <t>OUTCDGM</t>
  </si>
  <si>
    <t>OUTCELM</t>
  </si>
  <si>
    <t>OUTCHKM</t>
  </si>
  <si>
    <t>OUTCHRM</t>
  </si>
  <si>
    <t>OUTCLBM</t>
  </si>
  <si>
    <t>OUTCMLM</t>
  </si>
  <si>
    <t>OUTCOTM</t>
  </si>
  <si>
    <t>OUTCPEM</t>
  </si>
  <si>
    <t>OUTCRDL</t>
  </si>
  <si>
    <t>OUTDNML</t>
  </si>
  <si>
    <t>OUTDWNM</t>
  </si>
  <si>
    <t>OUTDZLM</t>
  </si>
  <si>
    <t>OUTEMBM</t>
  </si>
  <si>
    <t>OUTENDL</t>
  </si>
  <si>
    <t>OUTETHL</t>
  </si>
  <si>
    <t>OUTFLCM</t>
  </si>
  <si>
    <t>OUTFREM</t>
  </si>
  <si>
    <t>OUTFRML</t>
  </si>
  <si>
    <t>OUTFRSL</t>
  </si>
  <si>
    <t>OUTFURL</t>
  </si>
  <si>
    <t>OUTFXFM</t>
  </si>
  <si>
    <t>OUTGLMM</t>
  </si>
  <si>
    <t>OUTHOLM</t>
  </si>
  <si>
    <t>OUTHOPL</t>
  </si>
  <si>
    <t>OUTHRNL</t>
  </si>
  <si>
    <t>OUTJKTXL</t>
  </si>
  <si>
    <t>OUTJOLM</t>
  </si>
  <si>
    <t>OUTJQDL</t>
  </si>
  <si>
    <t>OUTKTHM</t>
  </si>
  <si>
    <t>OUTKTNM</t>
  </si>
  <si>
    <t>OUTLMEL</t>
  </si>
  <si>
    <t>OUTLSTM</t>
  </si>
  <si>
    <t>OUTLTHM</t>
  </si>
  <si>
    <t>OUTMETL</t>
  </si>
  <si>
    <t>OUTNYBL</t>
  </si>
  <si>
    <t>OUTNYEM</t>
  </si>
  <si>
    <t>OUTPHUL</t>
  </si>
  <si>
    <t>OUTPRKXL</t>
  </si>
  <si>
    <t>OUTPRTM</t>
  </si>
  <si>
    <t>OUTPUFM</t>
  </si>
  <si>
    <t>OUTQTDL</t>
  </si>
  <si>
    <t>OUTRSEM</t>
  </si>
  <si>
    <t>OUTSALL</t>
  </si>
  <si>
    <t>OUTSHNL</t>
  </si>
  <si>
    <t>OUTSHRL</t>
  </si>
  <si>
    <t>OUTSHWL</t>
  </si>
  <si>
    <t>OUTSPKM</t>
  </si>
  <si>
    <t>OUTSQNM</t>
  </si>
  <si>
    <t>OUTSTRL</t>
  </si>
  <si>
    <t>OUTTRNL</t>
  </si>
  <si>
    <t>OUTTRNM</t>
  </si>
  <si>
    <t>OUTTWDM</t>
  </si>
  <si>
    <t>OUTVLVL</t>
  </si>
  <si>
    <t>OUTVSTS</t>
  </si>
  <si>
    <t>OUTWNDL</t>
  </si>
  <si>
    <t>OUTWNTL</t>
  </si>
  <si>
    <t>OUTWOLL</t>
  </si>
  <si>
    <t>OUTXMSL</t>
  </si>
  <si>
    <t>OUTZRIM</t>
  </si>
  <si>
    <t>TOPAJRM</t>
  </si>
  <si>
    <t>TOPBASM</t>
  </si>
  <si>
    <t>TOPBDSM</t>
  </si>
  <si>
    <t>TOPBEGL</t>
  </si>
  <si>
    <t>TOPBLNL</t>
  </si>
  <si>
    <t>TOPBNDS</t>
  </si>
  <si>
    <t>TOPBTNM</t>
  </si>
  <si>
    <t>TOPBYEL</t>
  </si>
  <si>
    <t>TOPCASM</t>
  </si>
  <si>
    <t>TOPCASXL</t>
  </si>
  <si>
    <t>TOPCELL</t>
  </si>
  <si>
    <t>TOPCHKL</t>
  </si>
  <si>
    <t>TOPCLRM</t>
  </si>
  <si>
    <t>TOPCRPXS</t>
  </si>
  <si>
    <t>TOPCRWL</t>
  </si>
  <si>
    <t>TOPCWLM</t>
  </si>
  <si>
    <t>TOPDNMM</t>
  </si>
  <si>
    <t>TOPEMBM</t>
  </si>
  <si>
    <t>TOPETHM</t>
  </si>
  <si>
    <t>TOPFESS</t>
  </si>
  <si>
    <t>TOPFLKL</t>
  </si>
  <si>
    <t>TOPFRMS</t>
  </si>
  <si>
    <t>TOPFTHS</t>
  </si>
  <si>
    <t>TOPFTRS</t>
  </si>
  <si>
    <t>TOPGLSM</t>
  </si>
  <si>
    <t>TOPGLTL</t>
  </si>
  <si>
    <t>TOPGOTS</t>
  </si>
  <si>
    <t>TOPGRFM</t>
  </si>
  <si>
    <t>TOPHLTL</t>
  </si>
  <si>
    <t>TOPHLYL</t>
  </si>
  <si>
    <t>TOPHODL</t>
  </si>
  <si>
    <t>TOPJOYM</t>
  </si>
  <si>
    <t>TOPKNTM</t>
  </si>
  <si>
    <t>TOPKSHL</t>
  </si>
  <si>
    <t>TOPLCEM</t>
  </si>
  <si>
    <t>TOPLSTS</t>
  </si>
  <si>
    <t>TOPMCRM</t>
  </si>
  <si>
    <t>TOPMETS</t>
  </si>
  <si>
    <t>TOPMRRS</t>
  </si>
  <si>
    <t>TOPMTLS</t>
  </si>
  <si>
    <t>TOPNYEXS</t>
  </si>
  <si>
    <t>TOPOFFM</t>
  </si>
  <si>
    <t>TOPPEPM</t>
  </si>
  <si>
    <t>TOPPLOL</t>
  </si>
  <si>
    <t>TOPPRNL</t>
  </si>
  <si>
    <t>TOPPRYM</t>
  </si>
  <si>
    <t>TOPRCHS</t>
  </si>
  <si>
    <t>TOPRDRM</t>
  </si>
  <si>
    <t>TOPRFLS</t>
  </si>
  <si>
    <t>TOPSHMM</t>
  </si>
  <si>
    <t>TOPSHRL</t>
  </si>
  <si>
    <t>TOPSLBL</t>
  </si>
  <si>
    <t>TOPSLKM</t>
  </si>
  <si>
    <t>TOPSLVS</t>
  </si>
  <si>
    <t>TOPSNWL</t>
  </si>
  <si>
    <t>TOPSPKM</t>
  </si>
  <si>
    <t>TOPSQNS</t>
  </si>
  <si>
    <t>TOPSQRM</t>
  </si>
  <si>
    <t>TOPSTRS</t>
  </si>
  <si>
    <t>TOPSWTS</t>
  </si>
  <si>
    <t>TOPTHRL</t>
  </si>
  <si>
    <t>TOPTIES</t>
  </si>
  <si>
    <t>TOPTUNL</t>
  </si>
  <si>
    <t>TOPTXDL</t>
  </si>
  <si>
    <t>TOPVLVS</t>
  </si>
  <si>
    <t>TOPVNKL</t>
  </si>
  <si>
    <t>TOPVNYM</t>
  </si>
  <si>
    <t>TOPWISM</t>
  </si>
  <si>
    <t>TOPXMSM</t>
  </si>
  <si>
    <t>TOPYRSL</t>
  </si>
  <si>
    <t>TOPZARL</t>
  </si>
  <si>
    <t>Quantity_Flag</t>
  </si>
  <si>
    <t>Unit_price_flag</t>
  </si>
  <si>
    <t>Disc_per_status</t>
  </si>
  <si>
    <t>order_total</t>
  </si>
  <si>
    <t>Total_check</t>
  </si>
  <si>
    <t>Cancelled_Delivery_Check</t>
  </si>
  <si>
    <t>Return_Reason_Check</t>
  </si>
  <si>
    <t>return_received_date vs delivery_date</t>
  </si>
  <si>
    <t>delivery_order before order_date</t>
  </si>
  <si>
    <t>Rule ID</t>
  </si>
  <si>
    <t>Validation Check</t>
  </si>
  <si>
    <t>Expected Outcome</t>
  </si>
  <si>
    <t>Status (Valid / Invalid / Not Applicable)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</si>
  <si>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</si>
  <si>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</si>
  <si>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</si>
  <si>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</si>
  <si>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</si>
  <si>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</si>
  <si>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</si>
  <si>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</si>
  <si>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</si>
  <si>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</si>
  <si>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CF1</t>
  </si>
  <si>
    <t>BL1</t>
  </si>
  <si>
    <t>BL2</t>
  </si>
  <si>
    <t>rder_id follows UT-XXXXXX</t>
  </si>
  <si>
    <t>100% compliance</t>
  </si>
  <si>
    <t>customer_type contains only "New" or "Returning"</t>
  </si>
  <si>
    <t>No other values</t>
  </si>
  <si>
    <t>quantity is a positive integer</t>
  </si>
  <si>
    <t>discount_percent between 0–100</t>
  </si>
  <si>
    <t>order_date falls within Q4 2024 (Oct 1 – Dec 31)</t>
  </si>
  <si>
    <t>payment_method matches one of 5 defined options</t>
  </si>
  <si>
    <t>If delivery_status = "Delivered", delivery_date must exist</t>
  </si>
  <si>
    <t>If return_initiated = "No", return_reason must be blank</t>
  </si>
  <si>
    <t>warehouse_origin is Mumbai, Delhi, or Bangalore</t>
  </si>
  <si>
    <t>refund_status = "Not Applicable" when return_initiated = "No"</t>
  </si>
  <si>
    <t>delivery_status = RTO → return_initiated = No</t>
  </si>
  <si>
    <t>CF2</t>
  </si>
  <si>
    <t>customer_type = New → customer_id not repeated</t>
  </si>
  <si>
    <t>delivery_time = delivery_date – order_date</t>
  </si>
  <si>
    <t>return window = return_received – delivery_date</t>
  </si>
  <si>
    <t>No zeros, negatives, or decimals</t>
  </si>
  <si>
    <t>No out-of-range values</t>
  </si>
  <si>
    <t>No dates outside range</t>
  </si>
  <si>
    <t>No undefined methods</t>
  </si>
  <si>
    <t>Cross-field consistency</t>
  </si>
  <si>
    <t>Business logic compliance</t>
  </si>
  <si>
    <t>No other warehouses</t>
  </si>
  <si>
    <t>Logical consistency</t>
  </si>
  <si>
    <t>Business logic validation</t>
  </si>
  <si>
    <t>Flag negatives or &gt;30 days</t>
  </si>
  <si>
    <t>Flag &gt;30 days</t>
  </si>
  <si>
    <t xml:space="preserve">Notes </t>
  </si>
  <si>
    <t>Correct order_id format (UT-XXXXXX)</t>
  </si>
  <si>
    <t>Replace invalid customer_type values with New/Returning</t>
  </si>
  <si>
    <t>Remove negative/zero/decimal quantities</t>
  </si>
  <si>
    <t>Adjust discount_percent to 0–100</t>
  </si>
  <si>
    <t>Fix order_dates outside Q4 2024</t>
  </si>
  <si>
    <t>Correct payment_method to one of the 5 valid options</t>
  </si>
  <si>
    <t>Add delivery_date for Delivered orders</t>
  </si>
  <si>
    <t>Remove return_reason if return_initiated = No</t>
  </si>
  <si>
    <t>Correct warehouse_origin to Mumbai, Delhi, or Bangalore</t>
  </si>
  <si>
    <t>Set refund_status = Not Applicable if return_initiated = No</t>
  </si>
  <si>
    <t>Ensure return_received ≤ 30 days after delivery_date</t>
  </si>
  <si>
    <t>Check delivery_date/order_date errors</t>
  </si>
  <si>
    <t>Remove duplicate New customer_ids</t>
  </si>
  <si>
    <t>Set return_initiated = No if delivery_status = 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</si>
</sst>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D0D0D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7" fontId="0" fillId="0" borderId="0" xfId="0" applyNumberFormat="1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2DC318-5EBD-4A64-9ED3-382924B81D21}" name="Table1" displayName="Table1" ref="A1:E15" totalsRowShown="0" headerRowDxfId="4">
  <autoFilter ref="A1:E15" xr:uid="{F62DC318-5EBD-4A64-9ED3-382924B81D21}"/>
  <tableColumns count="5">
    <tableColumn id="1" xr3:uid="{F5040904-B3F3-4DB1-B047-0144BF0CEC12}" name="Rule ID"/>
    <tableColumn id="2" xr3:uid="{D25CA0BE-C8CB-4F75-BF2F-4D5CC427832F}" name="Validation Check"/>
    <tableColumn id="3" xr3:uid="{A4B1D3B2-A490-4F01-8A1F-0D7DCC06B73C}" name="Expected Outcome"/>
    <tableColumn id="4" xr3:uid="{6EE38EBF-D073-448C-B315-E9B24E35B3C1}" name="Status (Valid / Invalid / Not Applicable)"/>
    <tableColumn id="5" xr3:uid="{E1786A83-4383-46AE-9A57-6218EC093884}" name="Notes 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317CA-3886-4CFE-8E8C-CDA75F307399}">
  <dimension ref="A1:AF347"/>
  <sheetViews>
    <sheetView topLeftCell="V1" workbookViewId="0">
      <selection activeCell="AA10" sqref="AA10"/>
    </sheetView>
  </sheetViews>
  <sheetFormatPr defaultRowHeight="14.4" x14ac:dyDescent="0.3"/>
  <cols>
    <col min="1" max="1" width="8.88671875" customWidth="1"/>
    <col min="2" max="2" width="15.21875" style="4" customWidth="1"/>
    <col min="3" max="4" width="8.88671875" customWidth="1"/>
    <col min="5" max="5" width="13.77734375" customWidth="1"/>
    <col min="6" max="6" width="8.88671875" customWidth="1"/>
    <col min="7" max="7" width="15" customWidth="1"/>
    <col min="8" max="8" width="8.88671875" customWidth="1"/>
    <col min="9" max="9" width="16.109375" bestFit="1" customWidth="1"/>
    <col min="11" max="11" width="13.5546875" customWidth="1"/>
    <col min="13" max="14" width="12.5546875" customWidth="1"/>
    <col min="15" max="15" width="8.88671875" customWidth="1"/>
    <col min="17" max="17" width="12.109375" customWidth="1"/>
    <col min="20" max="20" width="13.21875" customWidth="1"/>
    <col min="23" max="24" width="19.33203125" style="4" customWidth="1"/>
    <col min="25" max="26" width="15.109375" customWidth="1"/>
    <col min="27" max="27" width="12.5546875" customWidth="1"/>
    <col min="28" max="29" width="14.44140625" customWidth="1"/>
    <col min="30" max="31" width="18.6640625" style="4" customWidth="1"/>
  </cols>
  <sheetData>
    <row r="1" spans="1:32" s="2" customFormat="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1479</v>
      </c>
      <c r="J1" s="2" t="s">
        <v>8</v>
      </c>
      <c r="K1" s="2" t="s">
        <v>1478</v>
      </c>
      <c r="L1" s="2" t="s">
        <v>9</v>
      </c>
      <c r="M1" s="2" t="s">
        <v>1481</v>
      </c>
      <c r="N1" s="2" t="s">
        <v>1482</v>
      </c>
      <c r="O1" s="2" t="s">
        <v>10</v>
      </c>
      <c r="P1" s="2" t="s">
        <v>11</v>
      </c>
      <c r="Q1" s="2" t="s">
        <v>1480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3" t="s">
        <v>17</v>
      </c>
      <c r="X1" s="3" t="s">
        <v>1486</v>
      </c>
      <c r="Y1" s="2" t="s">
        <v>18</v>
      </c>
      <c r="Z1" s="2" t="s">
        <v>1483</v>
      </c>
      <c r="AA1" s="2" t="s">
        <v>19</v>
      </c>
      <c r="AB1" s="2" t="s">
        <v>20</v>
      </c>
      <c r="AC1" s="2" t="s">
        <v>1484</v>
      </c>
      <c r="AD1" s="3" t="s">
        <v>21</v>
      </c>
      <c r="AE1" s="2" t="s">
        <v>1485</v>
      </c>
      <c r="AF1" s="2" t="s">
        <v>22</v>
      </c>
    </row>
    <row r="2" spans="1:32" x14ac:dyDescent="0.3">
      <c r="A2" t="s">
        <v>35</v>
      </c>
      <c r="B2" s="4">
        <v>45566</v>
      </c>
      <c r="C2" t="s">
        <v>36</v>
      </c>
      <c r="D2" t="s">
        <v>37</v>
      </c>
      <c r="E2" t="s">
        <v>1299</v>
      </c>
      <c r="F2" t="s">
        <v>38</v>
      </c>
      <c r="G2" t="s">
        <v>39</v>
      </c>
      <c r="H2">
        <v>2499</v>
      </c>
      <c r="I2" t="str">
        <f t="shared" ref="I2:I65" si="0">IF(OR(H2&lt;=0,H2&gt;50000),"Outlier","Normal")</f>
        <v>Normal</v>
      </c>
      <c r="J2">
        <v>1</v>
      </c>
      <c r="K2" t="str">
        <f t="shared" ref="K2:K65" si="1">IF(J2&gt;10,"Outlier","Normal")</f>
        <v>Normal</v>
      </c>
      <c r="L2">
        <v>2499</v>
      </c>
      <c r="M2">
        <f t="shared" ref="M2:M65" si="2">H2*J2*(1-(P2/100))</f>
        <v>1999.2</v>
      </c>
      <c r="N2" t="str">
        <f t="shared" ref="N2:N65" si="3">IF(ABS(L2-M2)&lt;1,"Match","Mismatch")</f>
        <v>Mismatch</v>
      </c>
      <c r="O2" t="s">
        <v>40</v>
      </c>
      <c r="P2">
        <v>20</v>
      </c>
      <c r="Q2" t="str">
        <f t="shared" ref="Q2:Q65" si="4">IF(OR(P2&lt;0,C2&gt;100),"Invalid","valid")</f>
        <v>Invalid</v>
      </c>
      <c r="R2" t="s">
        <v>41</v>
      </c>
      <c r="S2" t="s">
        <v>42</v>
      </c>
      <c r="T2" t="s">
        <v>43</v>
      </c>
      <c r="U2" t="s">
        <v>43</v>
      </c>
      <c r="V2" t="s">
        <v>43</v>
      </c>
      <c r="W2" s="4">
        <v>45569</v>
      </c>
      <c r="X2" s="4" t="str">
        <f t="shared" ref="X2:X65" si="5">IF(AND(B2&lt;&gt;"",W2&lt;&gt;""),IF(B2&lt;D2,"Invalid","Valid"),"Not applicable")</f>
        <v>Invalid</v>
      </c>
      <c r="Y2" t="s">
        <v>32</v>
      </c>
      <c r="Z2" t="str">
        <f t="shared" ref="Z2:Z65" si="6">IF(AND(Y2="Cancelled",W2&lt;&gt;""),"Invalid","Valid")</f>
        <v>Valid</v>
      </c>
      <c r="AA2" t="s">
        <v>44</v>
      </c>
      <c r="AB2" t="s">
        <v>45</v>
      </c>
      <c r="AC2" t="str">
        <f t="shared" ref="AC2:AC65" si="7">IF(AA2="Yes",
   IF(OR(AB2="", AB2="Not Applicable"), "Missing Reason", "Valid"),
   "Not Applicable")</f>
        <v>Valid</v>
      </c>
      <c r="AD2" s="4">
        <v>45580</v>
      </c>
      <c r="AE2" s="4" t="str">
        <f t="shared" ref="AE2:AE65" si="8">IF(AND(W2&lt;&gt;"",AD2&lt;&gt;""),IF(W2&lt;AD2,"Invalid","Valid"),"Not Applicable")</f>
        <v>Invalid</v>
      </c>
      <c r="AF2" t="s">
        <v>46</v>
      </c>
    </row>
    <row r="3" spans="1:32" x14ac:dyDescent="0.3">
      <c r="A3" t="s">
        <v>68</v>
      </c>
      <c r="B3" s="4">
        <v>45567</v>
      </c>
      <c r="C3" t="s">
        <v>69</v>
      </c>
      <c r="D3" t="s">
        <v>37</v>
      </c>
      <c r="E3" t="s">
        <v>1428</v>
      </c>
      <c r="F3" t="s">
        <v>26</v>
      </c>
      <c r="G3" t="s">
        <v>70</v>
      </c>
      <c r="H3">
        <v>1599</v>
      </c>
      <c r="I3" t="str">
        <f t="shared" si="0"/>
        <v>Normal</v>
      </c>
      <c r="J3">
        <v>2</v>
      </c>
      <c r="K3" t="str">
        <f t="shared" si="1"/>
        <v>Normal</v>
      </c>
      <c r="L3">
        <v>3198</v>
      </c>
      <c r="M3">
        <f t="shared" si="2"/>
        <v>3198</v>
      </c>
      <c r="N3" t="str">
        <f t="shared" si="3"/>
        <v>Match</v>
      </c>
      <c r="O3" t="s">
        <v>1140</v>
      </c>
      <c r="P3">
        <v>0</v>
      </c>
      <c r="Q3" t="str">
        <f t="shared" si="4"/>
        <v>Invalid</v>
      </c>
      <c r="R3" t="s">
        <v>41</v>
      </c>
      <c r="S3" t="s">
        <v>42</v>
      </c>
      <c r="T3" t="s">
        <v>71</v>
      </c>
      <c r="U3" t="s">
        <v>72</v>
      </c>
      <c r="V3" t="s">
        <v>53</v>
      </c>
      <c r="W3" s="4">
        <v>45572</v>
      </c>
      <c r="X3" s="4" t="str">
        <f t="shared" si="5"/>
        <v>Invalid</v>
      </c>
      <c r="Y3" t="s">
        <v>32</v>
      </c>
      <c r="Z3" t="str">
        <f t="shared" si="6"/>
        <v>Valid</v>
      </c>
      <c r="AA3" t="s">
        <v>44</v>
      </c>
      <c r="AB3" t="s">
        <v>73</v>
      </c>
      <c r="AC3" t="str">
        <f t="shared" si="7"/>
        <v>Valid</v>
      </c>
      <c r="AD3" s="4">
        <v>45583</v>
      </c>
      <c r="AE3" s="4" t="str">
        <f t="shared" si="8"/>
        <v>Invalid</v>
      </c>
      <c r="AF3" t="s">
        <v>46</v>
      </c>
    </row>
    <row r="4" spans="1:32" x14ac:dyDescent="0.3">
      <c r="A4" t="s">
        <v>55</v>
      </c>
      <c r="B4" s="4">
        <v>45566</v>
      </c>
      <c r="C4" t="s">
        <v>56</v>
      </c>
      <c r="D4" t="s">
        <v>25</v>
      </c>
      <c r="E4" t="s">
        <v>1373</v>
      </c>
      <c r="F4" t="s">
        <v>57</v>
      </c>
      <c r="G4" t="s">
        <v>58</v>
      </c>
      <c r="H4">
        <v>3499</v>
      </c>
      <c r="I4" t="str">
        <f t="shared" si="0"/>
        <v>Normal</v>
      </c>
      <c r="J4">
        <v>1</v>
      </c>
      <c r="K4" t="str">
        <f t="shared" si="1"/>
        <v>Normal</v>
      </c>
      <c r="L4">
        <v>3499</v>
      </c>
      <c r="M4">
        <f t="shared" si="2"/>
        <v>2974.15</v>
      </c>
      <c r="N4" t="str">
        <f t="shared" si="3"/>
        <v>Mismatch</v>
      </c>
      <c r="O4" t="s">
        <v>59</v>
      </c>
      <c r="P4">
        <v>15</v>
      </c>
      <c r="Q4" t="str">
        <f t="shared" si="4"/>
        <v>Invalid</v>
      </c>
      <c r="R4" t="s">
        <v>60</v>
      </c>
      <c r="S4" t="s">
        <v>61</v>
      </c>
      <c r="T4" t="s">
        <v>62</v>
      </c>
      <c r="U4" t="s">
        <v>63</v>
      </c>
      <c r="V4" t="s">
        <v>30</v>
      </c>
      <c r="W4" s="4">
        <v>45573</v>
      </c>
      <c r="X4" s="4" t="str">
        <f t="shared" si="5"/>
        <v>Invalid</v>
      </c>
      <c r="Y4" t="s">
        <v>32</v>
      </c>
      <c r="Z4" t="str">
        <f t="shared" si="6"/>
        <v>Valid</v>
      </c>
      <c r="AA4" t="s">
        <v>44</v>
      </c>
      <c r="AB4" t="s">
        <v>64</v>
      </c>
      <c r="AC4" t="str">
        <f t="shared" si="7"/>
        <v>Valid</v>
      </c>
      <c r="AD4" s="4">
        <v>45585</v>
      </c>
      <c r="AE4" s="4" t="str">
        <f t="shared" si="8"/>
        <v>Invalid</v>
      </c>
      <c r="AF4" t="s">
        <v>46</v>
      </c>
    </row>
    <row r="5" spans="1:32" x14ac:dyDescent="0.3">
      <c r="A5" t="s">
        <v>84</v>
      </c>
      <c r="B5" s="4">
        <v>45567</v>
      </c>
      <c r="C5" t="s">
        <v>85</v>
      </c>
      <c r="D5" t="s">
        <v>37</v>
      </c>
      <c r="E5" t="s">
        <v>1416</v>
      </c>
      <c r="F5" t="s">
        <v>26</v>
      </c>
      <c r="G5" t="s">
        <v>86</v>
      </c>
      <c r="H5">
        <v>1399</v>
      </c>
      <c r="I5" t="str">
        <f t="shared" si="0"/>
        <v>Normal</v>
      </c>
      <c r="J5">
        <v>5</v>
      </c>
      <c r="K5" t="str">
        <f t="shared" si="1"/>
        <v>Normal</v>
      </c>
      <c r="L5">
        <v>6995</v>
      </c>
      <c r="M5">
        <f t="shared" si="2"/>
        <v>6995</v>
      </c>
      <c r="N5" t="str">
        <f t="shared" si="3"/>
        <v>Match</v>
      </c>
      <c r="O5" t="s">
        <v>1140</v>
      </c>
      <c r="P5">
        <v>0</v>
      </c>
      <c r="Q5" t="str">
        <f t="shared" si="4"/>
        <v>Invalid</v>
      </c>
      <c r="R5" t="s">
        <v>41</v>
      </c>
      <c r="S5" t="s">
        <v>29</v>
      </c>
      <c r="T5" t="s">
        <v>87</v>
      </c>
      <c r="U5" t="s">
        <v>88</v>
      </c>
      <c r="V5" t="s">
        <v>30</v>
      </c>
      <c r="W5" s="4">
        <v>45574</v>
      </c>
      <c r="X5" s="4" t="str">
        <f t="shared" si="5"/>
        <v>Invalid</v>
      </c>
      <c r="Y5" t="s">
        <v>32</v>
      </c>
      <c r="Z5" t="str">
        <f t="shared" si="6"/>
        <v>Valid</v>
      </c>
      <c r="AA5" t="s">
        <v>44</v>
      </c>
      <c r="AB5" t="s">
        <v>45</v>
      </c>
      <c r="AC5" t="str">
        <f t="shared" si="7"/>
        <v>Valid</v>
      </c>
      <c r="AD5" s="4">
        <v>45587</v>
      </c>
      <c r="AE5" s="4" t="str">
        <f t="shared" si="8"/>
        <v>Invalid</v>
      </c>
      <c r="AF5" t="s">
        <v>46</v>
      </c>
    </row>
    <row r="6" spans="1:32" x14ac:dyDescent="0.3">
      <c r="A6" t="s">
        <v>89</v>
      </c>
      <c r="B6" s="4">
        <v>45567</v>
      </c>
      <c r="C6" t="s">
        <v>90</v>
      </c>
      <c r="D6" t="s">
        <v>25</v>
      </c>
      <c r="E6" t="s">
        <v>1345</v>
      </c>
      <c r="F6" t="s">
        <v>57</v>
      </c>
      <c r="G6" t="s">
        <v>91</v>
      </c>
      <c r="H6">
        <v>4999</v>
      </c>
      <c r="I6" t="str">
        <f t="shared" si="0"/>
        <v>Normal</v>
      </c>
      <c r="J6">
        <v>-1</v>
      </c>
      <c r="K6" t="str">
        <f t="shared" si="1"/>
        <v>Normal</v>
      </c>
      <c r="L6">
        <v>4999</v>
      </c>
      <c r="M6">
        <f t="shared" si="2"/>
        <v>-4999</v>
      </c>
      <c r="N6" t="str">
        <f t="shared" si="3"/>
        <v>Mismatch</v>
      </c>
      <c r="O6" t="s">
        <v>1140</v>
      </c>
      <c r="P6">
        <v>0</v>
      </c>
      <c r="Q6" t="str">
        <f t="shared" si="4"/>
        <v>Invalid</v>
      </c>
      <c r="R6" t="s">
        <v>60</v>
      </c>
      <c r="S6" t="s">
        <v>61</v>
      </c>
      <c r="T6" t="s">
        <v>92</v>
      </c>
      <c r="U6" t="s">
        <v>93</v>
      </c>
      <c r="V6" t="s">
        <v>43</v>
      </c>
      <c r="W6" s="4">
        <v>45576</v>
      </c>
      <c r="X6" s="4" t="str">
        <f t="shared" si="5"/>
        <v>Invalid</v>
      </c>
      <c r="Y6" t="s">
        <v>32</v>
      </c>
      <c r="Z6" t="str">
        <f t="shared" si="6"/>
        <v>Valid</v>
      </c>
      <c r="AA6" t="s">
        <v>44</v>
      </c>
      <c r="AB6" t="s">
        <v>94</v>
      </c>
      <c r="AC6" t="str">
        <f t="shared" si="7"/>
        <v>Valid</v>
      </c>
      <c r="AD6" s="4">
        <v>45590</v>
      </c>
      <c r="AE6" s="4" t="str">
        <f t="shared" si="8"/>
        <v>Invalid</v>
      </c>
      <c r="AF6" t="s">
        <v>95</v>
      </c>
    </row>
    <row r="7" spans="1:32" x14ac:dyDescent="0.3">
      <c r="A7" t="s">
        <v>118</v>
      </c>
      <c r="B7" s="4">
        <v>45569</v>
      </c>
      <c r="C7" t="s">
        <v>119</v>
      </c>
      <c r="D7" t="s">
        <v>37</v>
      </c>
      <c r="E7" t="s">
        <v>1175</v>
      </c>
      <c r="F7" t="s">
        <v>66</v>
      </c>
      <c r="G7" t="s">
        <v>120</v>
      </c>
      <c r="H7">
        <v>599</v>
      </c>
      <c r="I7" t="str">
        <f t="shared" si="0"/>
        <v>Normal</v>
      </c>
      <c r="J7">
        <v>4</v>
      </c>
      <c r="K7" t="str">
        <f t="shared" si="1"/>
        <v>Normal</v>
      </c>
      <c r="L7">
        <v>2396</v>
      </c>
      <c r="M7">
        <f t="shared" si="2"/>
        <v>2396</v>
      </c>
      <c r="N7" t="str">
        <f t="shared" si="3"/>
        <v>Match</v>
      </c>
      <c r="O7" t="s">
        <v>1140</v>
      </c>
      <c r="P7">
        <v>0</v>
      </c>
      <c r="Q7" t="str">
        <f t="shared" si="4"/>
        <v>Invalid</v>
      </c>
      <c r="R7" t="s">
        <v>52</v>
      </c>
      <c r="S7" t="s">
        <v>29</v>
      </c>
      <c r="T7" t="s">
        <v>121</v>
      </c>
      <c r="U7" t="s">
        <v>102</v>
      </c>
      <c r="V7" t="s">
        <v>43</v>
      </c>
      <c r="W7" s="4">
        <v>45579</v>
      </c>
      <c r="X7" s="4" t="str">
        <f t="shared" si="5"/>
        <v>Invalid</v>
      </c>
      <c r="Y7" t="s">
        <v>32</v>
      </c>
      <c r="Z7" t="str">
        <f t="shared" si="6"/>
        <v>Valid</v>
      </c>
      <c r="AA7" t="s">
        <v>44</v>
      </c>
      <c r="AB7" t="s">
        <v>122</v>
      </c>
      <c r="AC7" t="str">
        <f t="shared" si="7"/>
        <v>Valid</v>
      </c>
      <c r="AD7" s="4">
        <v>45591</v>
      </c>
      <c r="AE7" s="4" t="str">
        <f t="shared" si="8"/>
        <v>Invalid</v>
      </c>
      <c r="AF7" t="s">
        <v>46</v>
      </c>
    </row>
    <row r="8" spans="1:32" x14ac:dyDescent="0.3">
      <c r="A8" t="s">
        <v>112</v>
      </c>
      <c r="B8" s="4">
        <v>45568</v>
      </c>
      <c r="C8" t="s">
        <v>113</v>
      </c>
      <c r="D8" t="s">
        <v>25</v>
      </c>
      <c r="E8" t="s">
        <v>1259</v>
      </c>
      <c r="F8" t="s">
        <v>50</v>
      </c>
      <c r="G8" t="s">
        <v>114</v>
      </c>
      <c r="H8">
        <v>1799</v>
      </c>
      <c r="I8" t="str">
        <f t="shared" si="0"/>
        <v>Normal</v>
      </c>
      <c r="J8">
        <v>2</v>
      </c>
      <c r="K8" t="str">
        <f t="shared" si="1"/>
        <v>Normal</v>
      </c>
      <c r="L8">
        <v>3598</v>
      </c>
      <c r="M8">
        <f t="shared" si="2"/>
        <v>2878.4</v>
      </c>
      <c r="N8" t="str">
        <f t="shared" si="3"/>
        <v>Mismatch</v>
      </c>
      <c r="O8" t="s">
        <v>40</v>
      </c>
      <c r="P8">
        <v>20</v>
      </c>
      <c r="Q8" t="str">
        <f t="shared" si="4"/>
        <v>Invalid</v>
      </c>
      <c r="R8" t="s">
        <v>28</v>
      </c>
      <c r="S8" t="s">
        <v>61</v>
      </c>
      <c r="T8" t="s">
        <v>43</v>
      </c>
      <c r="U8" t="s">
        <v>43</v>
      </c>
      <c r="V8" t="s">
        <v>43</v>
      </c>
      <c r="W8" s="4">
        <v>45576</v>
      </c>
      <c r="X8" s="4" t="str">
        <f t="shared" si="5"/>
        <v>Invalid</v>
      </c>
      <c r="Y8" t="s">
        <v>32</v>
      </c>
      <c r="Z8" t="str">
        <f t="shared" si="6"/>
        <v>Valid</v>
      </c>
      <c r="AA8" t="s">
        <v>44</v>
      </c>
      <c r="AB8" t="s">
        <v>45</v>
      </c>
      <c r="AC8" t="str">
        <f t="shared" si="7"/>
        <v>Valid</v>
      </c>
      <c r="AD8" s="4">
        <v>45593</v>
      </c>
      <c r="AE8" s="4" t="str">
        <f t="shared" si="8"/>
        <v>Invalid</v>
      </c>
      <c r="AF8" t="s">
        <v>46</v>
      </c>
    </row>
    <row r="9" spans="1:32" x14ac:dyDescent="0.3">
      <c r="A9" t="s">
        <v>133</v>
      </c>
      <c r="B9" s="4">
        <v>45569</v>
      </c>
      <c r="C9" t="s">
        <v>134</v>
      </c>
      <c r="D9" t="s">
        <v>37</v>
      </c>
      <c r="E9" t="s">
        <v>1238</v>
      </c>
      <c r="F9" t="s">
        <v>50</v>
      </c>
      <c r="G9" t="s">
        <v>135</v>
      </c>
      <c r="H9">
        <v>1499</v>
      </c>
      <c r="I9" t="str">
        <f t="shared" si="0"/>
        <v>Normal</v>
      </c>
      <c r="J9">
        <v>2</v>
      </c>
      <c r="K9" t="str">
        <f t="shared" si="1"/>
        <v>Normal</v>
      </c>
      <c r="L9">
        <v>2998</v>
      </c>
      <c r="M9">
        <f t="shared" si="2"/>
        <v>2998</v>
      </c>
      <c r="N9" t="str">
        <f t="shared" si="3"/>
        <v>Match</v>
      </c>
      <c r="O9" t="s">
        <v>1140</v>
      </c>
      <c r="P9">
        <v>0</v>
      </c>
      <c r="Q9" t="str">
        <f t="shared" si="4"/>
        <v>Invalid</v>
      </c>
      <c r="R9" t="s">
        <v>100</v>
      </c>
      <c r="S9" t="s">
        <v>61</v>
      </c>
      <c r="T9" t="s">
        <v>136</v>
      </c>
      <c r="U9" t="s">
        <v>88</v>
      </c>
      <c r="V9" t="s">
        <v>30</v>
      </c>
      <c r="W9" s="4">
        <v>45578</v>
      </c>
      <c r="X9" s="4" t="str">
        <f t="shared" si="5"/>
        <v>Invalid</v>
      </c>
      <c r="Y9" t="s">
        <v>32</v>
      </c>
      <c r="Z9" t="str">
        <f t="shared" si="6"/>
        <v>Valid</v>
      </c>
      <c r="AA9" t="s">
        <v>44</v>
      </c>
      <c r="AB9" t="s">
        <v>45</v>
      </c>
      <c r="AC9" t="str">
        <f t="shared" si="7"/>
        <v>Valid</v>
      </c>
      <c r="AD9" s="4">
        <v>45595</v>
      </c>
      <c r="AE9" s="4" t="str">
        <f t="shared" si="8"/>
        <v>Invalid</v>
      </c>
      <c r="AF9" t="s">
        <v>46</v>
      </c>
    </row>
    <row r="10" spans="1:32" x14ac:dyDescent="0.3">
      <c r="A10" t="s">
        <v>146</v>
      </c>
      <c r="B10" s="4">
        <v>45570</v>
      </c>
      <c r="C10" t="s">
        <v>147</v>
      </c>
      <c r="D10" t="s">
        <v>37</v>
      </c>
      <c r="E10" t="s">
        <v>1326</v>
      </c>
      <c r="F10" t="s">
        <v>38</v>
      </c>
      <c r="G10" t="s">
        <v>148</v>
      </c>
      <c r="H10">
        <v>2399</v>
      </c>
      <c r="I10" t="str">
        <f t="shared" si="0"/>
        <v>Normal</v>
      </c>
      <c r="J10">
        <v>1</v>
      </c>
      <c r="K10" t="str">
        <f t="shared" si="1"/>
        <v>Normal</v>
      </c>
      <c r="L10">
        <v>2399</v>
      </c>
      <c r="M10">
        <f t="shared" si="2"/>
        <v>2399</v>
      </c>
      <c r="N10" t="str">
        <f t="shared" si="3"/>
        <v>Match</v>
      </c>
      <c r="O10" t="s">
        <v>1140</v>
      </c>
      <c r="P10">
        <v>0</v>
      </c>
      <c r="Q10" t="str">
        <f t="shared" si="4"/>
        <v>Invalid</v>
      </c>
      <c r="R10" t="s">
        <v>41</v>
      </c>
      <c r="S10" t="s">
        <v>29</v>
      </c>
      <c r="T10" t="s">
        <v>149</v>
      </c>
      <c r="U10" t="s">
        <v>31</v>
      </c>
      <c r="V10" t="s">
        <v>30</v>
      </c>
      <c r="W10" s="4">
        <v>45581</v>
      </c>
      <c r="X10" s="4" t="str">
        <f t="shared" si="5"/>
        <v>Invalid</v>
      </c>
      <c r="Y10" t="s">
        <v>32</v>
      </c>
      <c r="Z10" t="str">
        <f t="shared" si="6"/>
        <v>Valid</v>
      </c>
      <c r="AA10" t="s">
        <v>44</v>
      </c>
      <c r="AB10" t="s">
        <v>64</v>
      </c>
      <c r="AC10" t="str">
        <f t="shared" si="7"/>
        <v>Valid</v>
      </c>
      <c r="AD10" s="4">
        <v>45598</v>
      </c>
      <c r="AE10" s="4" t="str">
        <f t="shared" si="8"/>
        <v>Invalid</v>
      </c>
      <c r="AF10" t="s">
        <v>46</v>
      </c>
    </row>
    <row r="11" spans="1:32" x14ac:dyDescent="0.3">
      <c r="A11" t="s">
        <v>190</v>
      </c>
      <c r="B11" s="4">
        <v>45573</v>
      </c>
      <c r="C11" t="s">
        <v>191</v>
      </c>
      <c r="D11" t="s">
        <v>25</v>
      </c>
      <c r="E11" t="s">
        <v>1404</v>
      </c>
      <c r="F11" t="s">
        <v>57</v>
      </c>
      <c r="G11" t="s">
        <v>192</v>
      </c>
      <c r="H11">
        <v>6999</v>
      </c>
      <c r="I11" t="str">
        <f t="shared" si="0"/>
        <v>Normal</v>
      </c>
      <c r="J11">
        <v>1</v>
      </c>
      <c r="K11" t="str">
        <f t="shared" si="1"/>
        <v>Normal</v>
      </c>
      <c r="L11">
        <v>6999</v>
      </c>
      <c r="M11">
        <f t="shared" si="2"/>
        <v>5949.15</v>
      </c>
      <c r="N11" t="str">
        <f t="shared" si="3"/>
        <v>Mismatch</v>
      </c>
      <c r="O11" t="s">
        <v>59</v>
      </c>
      <c r="P11">
        <v>15</v>
      </c>
      <c r="Q11" t="str">
        <f t="shared" si="4"/>
        <v>Invalid</v>
      </c>
      <c r="R11" t="s">
        <v>60</v>
      </c>
      <c r="S11" t="s">
        <v>61</v>
      </c>
      <c r="T11" t="s">
        <v>82</v>
      </c>
      <c r="U11" t="s">
        <v>83</v>
      </c>
      <c r="V11" t="s">
        <v>43</v>
      </c>
      <c r="W11" s="4">
        <v>45581</v>
      </c>
      <c r="X11" s="4" t="str">
        <f t="shared" si="5"/>
        <v>Invalid</v>
      </c>
      <c r="Y11" t="s">
        <v>32</v>
      </c>
      <c r="Z11" t="str">
        <f t="shared" si="6"/>
        <v>Valid</v>
      </c>
      <c r="AA11" t="s">
        <v>44</v>
      </c>
      <c r="AB11" t="s">
        <v>64</v>
      </c>
      <c r="AC11" t="str">
        <f t="shared" si="7"/>
        <v>Valid</v>
      </c>
      <c r="AD11" s="4">
        <v>45601</v>
      </c>
      <c r="AE11" s="4" t="str">
        <f t="shared" si="8"/>
        <v>Invalid</v>
      </c>
      <c r="AF11" t="s">
        <v>46</v>
      </c>
    </row>
    <row r="12" spans="1:32" x14ac:dyDescent="0.3">
      <c r="A12" t="s">
        <v>154</v>
      </c>
      <c r="B12" s="4">
        <v>45571</v>
      </c>
      <c r="C12" t="s">
        <v>155</v>
      </c>
      <c r="D12" t="s">
        <v>25</v>
      </c>
      <c r="E12" t="s">
        <v>1257</v>
      </c>
      <c r="F12" t="s">
        <v>50</v>
      </c>
      <c r="G12" t="s">
        <v>156</v>
      </c>
      <c r="H12">
        <v>1199</v>
      </c>
      <c r="I12" t="str">
        <f t="shared" si="0"/>
        <v>Normal</v>
      </c>
      <c r="J12">
        <v>3</v>
      </c>
      <c r="K12" t="str">
        <f t="shared" si="1"/>
        <v>Normal</v>
      </c>
      <c r="L12">
        <v>3597</v>
      </c>
      <c r="M12">
        <f t="shared" si="2"/>
        <v>3597</v>
      </c>
      <c r="N12" t="str">
        <f t="shared" si="3"/>
        <v>Match</v>
      </c>
      <c r="O12" t="s">
        <v>1140</v>
      </c>
      <c r="P12">
        <v>0</v>
      </c>
      <c r="Q12" t="str">
        <f t="shared" si="4"/>
        <v>Invalid</v>
      </c>
      <c r="R12" t="s">
        <v>52</v>
      </c>
      <c r="S12" t="s">
        <v>61</v>
      </c>
      <c r="T12" t="s">
        <v>157</v>
      </c>
      <c r="U12" t="s">
        <v>158</v>
      </c>
      <c r="V12" t="s">
        <v>53</v>
      </c>
      <c r="W12" s="4">
        <v>45583</v>
      </c>
      <c r="X12" s="4" t="str">
        <f t="shared" si="5"/>
        <v>Invalid</v>
      </c>
      <c r="Y12" t="s">
        <v>32</v>
      </c>
      <c r="Z12" t="str">
        <f t="shared" si="6"/>
        <v>Valid</v>
      </c>
      <c r="AA12" t="s">
        <v>44</v>
      </c>
      <c r="AB12" t="s">
        <v>73</v>
      </c>
      <c r="AC12" t="str">
        <f t="shared" si="7"/>
        <v>Valid</v>
      </c>
      <c r="AD12" s="4">
        <v>45601</v>
      </c>
      <c r="AE12" s="4" t="str">
        <f t="shared" si="8"/>
        <v>Invalid</v>
      </c>
      <c r="AF12" t="s">
        <v>46</v>
      </c>
    </row>
    <row r="13" spans="1:32" x14ac:dyDescent="0.3">
      <c r="A13" t="s">
        <v>217</v>
      </c>
      <c r="B13" s="4">
        <v>45575</v>
      </c>
      <c r="C13" t="s">
        <v>218</v>
      </c>
      <c r="D13" t="s">
        <v>37</v>
      </c>
      <c r="E13" t="s">
        <v>1448</v>
      </c>
      <c r="F13" t="s">
        <v>26</v>
      </c>
      <c r="G13" t="s">
        <v>219</v>
      </c>
      <c r="H13">
        <v>1599</v>
      </c>
      <c r="I13" t="str">
        <f t="shared" si="0"/>
        <v>Normal</v>
      </c>
      <c r="J13">
        <v>2</v>
      </c>
      <c r="K13" t="str">
        <f t="shared" si="1"/>
        <v>Normal</v>
      </c>
      <c r="L13">
        <v>3198</v>
      </c>
      <c r="M13">
        <f t="shared" si="2"/>
        <v>2558.4</v>
      </c>
      <c r="N13" t="str">
        <f t="shared" si="3"/>
        <v>Mismatch</v>
      </c>
      <c r="O13" t="s">
        <v>40</v>
      </c>
      <c r="P13">
        <v>20</v>
      </c>
      <c r="Q13" t="str">
        <f t="shared" si="4"/>
        <v>Invalid</v>
      </c>
      <c r="R13" t="s">
        <v>41</v>
      </c>
      <c r="S13" t="s">
        <v>42</v>
      </c>
      <c r="T13" t="s">
        <v>43</v>
      </c>
      <c r="U13" t="s">
        <v>43</v>
      </c>
      <c r="V13" t="s">
        <v>43</v>
      </c>
      <c r="W13" s="4">
        <v>45582</v>
      </c>
      <c r="X13" s="4" t="str">
        <f t="shared" si="5"/>
        <v>Invalid</v>
      </c>
      <c r="Y13" t="s">
        <v>32</v>
      </c>
      <c r="Z13" t="str">
        <f t="shared" si="6"/>
        <v>Valid</v>
      </c>
      <c r="AA13" t="s">
        <v>44</v>
      </c>
      <c r="AB13" t="s">
        <v>94</v>
      </c>
      <c r="AC13" t="str">
        <f t="shared" si="7"/>
        <v>Valid</v>
      </c>
      <c r="AD13" s="4">
        <v>45604</v>
      </c>
      <c r="AE13" s="4" t="str">
        <f t="shared" si="8"/>
        <v>Invalid</v>
      </c>
      <c r="AF13" t="s">
        <v>46</v>
      </c>
    </row>
    <row r="14" spans="1:32" x14ac:dyDescent="0.3">
      <c r="A14" t="s">
        <v>196</v>
      </c>
      <c r="B14" s="4">
        <v>45573</v>
      </c>
      <c r="C14" t="s">
        <v>197</v>
      </c>
      <c r="D14" t="s">
        <v>25</v>
      </c>
      <c r="E14" t="s">
        <v>1219</v>
      </c>
      <c r="F14" t="s">
        <v>50</v>
      </c>
      <c r="G14" t="s">
        <v>198</v>
      </c>
      <c r="H14">
        <v>1599</v>
      </c>
      <c r="I14" t="str">
        <f t="shared" si="0"/>
        <v>Normal</v>
      </c>
      <c r="J14">
        <v>1</v>
      </c>
      <c r="K14" t="str">
        <f t="shared" si="1"/>
        <v>Normal</v>
      </c>
      <c r="L14">
        <v>1599</v>
      </c>
      <c r="M14">
        <f t="shared" si="2"/>
        <v>1599</v>
      </c>
      <c r="N14" t="str">
        <f t="shared" si="3"/>
        <v>Match</v>
      </c>
      <c r="O14" t="s">
        <v>1140</v>
      </c>
      <c r="P14">
        <v>0</v>
      </c>
      <c r="Q14" t="str">
        <f t="shared" si="4"/>
        <v>Invalid</v>
      </c>
      <c r="R14" t="s">
        <v>52</v>
      </c>
      <c r="S14" t="s">
        <v>29</v>
      </c>
      <c r="T14" t="s">
        <v>71</v>
      </c>
      <c r="U14" t="s">
        <v>72</v>
      </c>
      <c r="V14" t="s">
        <v>53</v>
      </c>
      <c r="W14" s="4">
        <v>45582</v>
      </c>
      <c r="X14" s="4" t="str">
        <f t="shared" si="5"/>
        <v>Invalid</v>
      </c>
      <c r="Y14" t="s">
        <v>32</v>
      </c>
      <c r="Z14" t="str">
        <f t="shared" si="6"/>
        <v>Valid</v>
      </c>
      <c r="AA14" t="s">
        <v>44</v>
      </c>
      <c r="AB14" t="s">
        <v>45</v>
      </c>
      <c r="AC14" t="str">
        <f t="shared" si="7"/>
        <v>Valid</v>
      </c>
      <c r="AD14" s="4">
        <v>45604</v>
      </c>
      <c r="AE14" s="4" t="str">
        <f t="shared" si="8"/>
        <v>Invalid</v>
      </c>
      <c r="AF14" t="s">
        <v>46</v>
      </c>
    </row>
    <row r="15" spans="1:32" x14ac:dyDescent="0.3">
      <c r="A15" t="s">
        <v>168</v>
      </c>
      <c r="B15" s="4">
        <v>45571</v>
      </c>
      <c r="C15" t="s">
        <v>169</v>
      </c>
      <c r="D15" t="s">
        <v>37</v>
      </c>
      <c r="E15" t="s">
        <v>1397</v>
      </c>
      <c r="F15" t="s">
        <v>57</v>
      </c>
      <c r="G15" t="s">
        <v>170</v>
      </c>
      <c r="H15">
        <v>4599</v>
      </c>
      <c r="I15" t="str">
        <f t="shared" si="0"/>
        <v>Normal</v>
      </c>
      <c r="J15">
        <v>1</v>
      </c>
      <c r="K15" t="str">
        <f t="shared" si="1"/>
        <v>Normal</v>
      </c>
      <c r="L15">
        <v>4599</v>
      </c>
      <c r="M15">
        <f t="shared" si="2"/>
        <v>4139.1000000000004</v>
      </c>
      <c r="N15" t="str">
        <f t="shared" si="3"/>
        <v>Mismatch</v>
      </c>
      <c r="O15" t="s">
        <v>99</v>
      </c>
      <c r="P15">
        <v>10</v>
      </c>
      <c r="Q15" t="str">
        <f t="shared" si="4"/>
        <v>Invalid</v>
      </c>
      <c r="R15" t="s">
        <v>60</v>
      </c>
      <c r="S15" t="s">
        <v>29</v>
      </c>
      <c r="T15" t="s">
        <v>171</v>
      </c>
      <c r="U15" t="s">
        <v>54</v>
      </c>
      <c r="V15" t="s">
        <v>53</v>
      </c>
      <c r="W15" s="4">
        <v>45584</v>
      </c>
      <c r="X15" s="4" t="str">
        <f t="shared" si="5"/>
        <v>Invalid</v>
      </c>
      <c r="Y15" t="s">
        <v>32</v>
      </c>
      <c r="Z15" t="str">
        <f t="shared" si="6"/>
        <v>Valid</v>
      </c>
      <c r="AA15" t="s">
        <v>44</v>
      </c>
      <c r="AB15" t="s">
        <v>45</v>
      </c>
      <c r="AC15" t="str">
        <f t="shared" si="7"/>
        <v>Valid</v>
      </c>
      <c r="AD15" s="4">
        <v>45604</v>
      </c>
      <c r="AE15" s="4" t="str">
        <f t="shared" si="8"/>
        <v>Invalid</v>
      </c>
      <c r="AF15" t="s">
        <v>46</v>
      </c>
    </row>
    <row r="16" spans="1:32" x14ac:dyDescent="0.3">
      <c r="A16" t="s">
        <v>211</v>
      </c>
      <c r="B16" s="4">
        <v>45575</v>
      </c>
      <c r="C16" t="s">
        <v>212</v>
      </c>
      <c r="D16" t="s">
        <v>25</v>
      </c>
      <c r="E16" t="s">
        <v>1251</v>
      </c>
      <c r="F16" t="s">
        <v>50</v>
      </c>
      <c r="G16" t="s">
        <v>213</v>
      </c>
      <c r="H16">
        <v>1699</v>
      </c>
      <c r="I16" t="str">
        <f t="shared" si="0"/>
        <v>Normal</v>
      </c>
      <c r="J16">
        <v>1</v>
      </c>
      <c r="K16" t="str">
        <f t="shared" si="1"/>
        <v>Normal</v>
      </c>
      <c r="L16">
        <v>1699</v>
      </c>
      <c r="M16">
        <f t="shared" si="2"/>
        <v>1699</v>
      </c>
      <c r="N16" t="str">
        <f t="shared" si="3"/>
        <v>Match</v>
      </c>
      <c r="O16" t="s">
        <v>1140</v>
      </c>
      <c r="P16">
        <v>0</v>
      </c>
      <c r="Q16" t="str">
        <f t="shared" si="4"/>
        <v>Invalid</v>
      </c>
      <c r="R16" t="s">
        <v>52</v>
      </c>
      <c r="S16" t="s">
        <v>29</v>
      </c>
      <c r="T16" t="s">
        <v>53</v>
      </c>
      <c r="U16" t="s">
        <v>54</v>
      </c>
      <c r="V16" t="s">
        <v>53</v>
      </c>
      <c r="W16" s="4">
        <v>45584</v>
      </c>
      <c r="X16" s="4" t="str">
        <f t="shared" si="5"/>
        <v>Invalid</v>
      </c>
      <c r="Y16" t="s">
        <v>32</v>
      </c>
      <c r="Z16" t="str">
        <f t="shared" si="6"/>
        <v>Valid</v>
      </c>
      <c r="AA16" t="s">
        <v>44</v>
      </c>
      <c r="AB16" t="s">
        <v>45</v>
      </c>
      <c r="AC16" t="str">
        <f t="shared" si="7"/>
        <v>Valid</v>
      </c>
      <c r="AD16" s="4">
        <v>45606</v>
      </c>
      <c r="AE16" s="4" t="str">
        <f t="shared" si="8"/>
        <v>Invalid</v>
      </c>
      <c r="AF16" t="s">
        <v>46</v>
      </c>
    </row>
    <row r="17" spans="1:32" x14ac:dyDescent="0.3">
      <c r="A17" t="s">
        <v>184</v>
      </c>
      <c r="B17" s="4">
        <v>45572</v>
      </c>
      <c r="C17" t="s">
        <v>185</v>
      </c>
      <c r="D17" t="s">
        <v>37</v>
      </c>
      <c r="E17" t="s">
        <v>1293</v>
      </c>
      <c r="F17" t="s">
        <v>38</v>
      </c>
      <c r="G17" t="s">
        <v>186</v>
      </c>
      <c r="H17">
        <v>5499</v>
      </c>
      <c r="I17" t="str">
        <f t="shared" si="0"/>
        <v>Normal</v>
      </c>
      <c r="J17">
        <v>1</v>
      </c>
      <c r="K17" t="str">
        <f t="shared" si="1"/>
        <v>Normal</v>
      </c>
      <c r="L17">
        <v>5499</v>
      </c>
      <c r="M17">
        <f t="shared" si="2"/>
        <v>5499</v>
      </c>
      <c r="N17" t="str">
        <f t="shared" si="3"/>
        <v>Match</v>
      </c>
      <c r="O17" t="s">
        <v>1140</v>
      </c>
      <c r="P17">
        <v>0</v>
      </c>
      <c r="Q17" t="str">
        <f t="shared" si="4"/>
        <v>Invalid</v>
      </c>
      <c r="R17" t="s">
        <v>41</v>
      </c>
      <c r="S17" t="s">
        <v>42</v>
      </c>
      <c r="T17" t="s">
        <v>30</v>
      </c>
      <c r="U17" t="s">
        <v>31</v>
      </c>
      <c r="V17" t="s">
        <v>30</v>
      </c>
      <c r="W17" s="4">
        <v>45586</v>
      </c>
      <c r="X17" s="4" t="str">
        <f t="shared" si="5"/>
        <v>Invalid</v>
      </c>
      <c r="Y17" t="s">
        <v>32</v>
      </c>
      <c r="Z17" t="str">
        <f t="shared" si="6"/>
        <v>Valid</v>
      </c>
      <c r="AA17" t="s">
        <v>44</v>
      </c>
      <c r="AB17" t="s">
        <v>45</v>
      </c>
      <c r="AC17" t="str">
        <f t="shared" si="7"/>
        <v>Valid</v>
      </c>
      <c r="AD17" s="4">
        <v>45606</v>
      </c>
      <c r="AE17" s="4" t="str">
        <f t="shared" si="8"/>
        <v>Invalid</v>
      </c>
      <c r="AF17" t="s">
        <v>46</v>
      </c>
    </row>
    <row r="18" spans="1:32" x14ac:dyDescent="0.3">
      <c r="A18" t="s">
        <v>223</v>
      </c>
      <c r="B18" s="4">
        <v>45576</v>
      </c>
      <c r="C18" t="s">
        <v>224</v>
      </c>
      <c r="D18" t="s">
        <v>25</v>
      </c>
      <c r="E18" t="s">
        <v>1170</v>
      </c>
      <c r="F18" t="s">
        <v>66</v>
      </c>
      <c r="G18" t="s">
        <v>225</v>
      </c>
      <c r="H18">
        <v>1899</v>
      </c>
      <c r="I18" t="str">
        <f t="shared" si="0"/>
        <v>Normal</v>
      </c>
      <c r="J18">
        <v>1</v>
      </c>
      <c r="K18" t="str">
        <f t="shared" si="1"/>
        <v>Normal</v>
      </c>
      <c r="L18">
        <v>1899</v>
      </c>
      <c r="M18">
        <f t="shared" si="2"/>
        <v>1899</v>
      </c>
      <c r="N18" t="str">
        <f t="shared" si="3"/>
        <v>Match</v>
      </c>
      <c r="O18" t="s">
        <v>1140</v>
      </c>
      <c r="P18">
        <v>0</v>
      </c>
      <c r="Q18" t="str">
        <f t="shared" si="4"/>
        <v>Invalid</v>
      </c>
      <c r="R18" t="s">
        <v>60</v>
      </c>
      <c r="S18" t="s">
        <v>61</v>
      </c>
      <c r="T18" t="s">
        <v>121</v>
      </c>
      <c r="U18" t="s">
        <v>102</v>
      </c>
      <c r="V18" t="s">
        <v>43</v>
      </c>
      <c r="W18" s="4">
        <v>45586</v>
      </c>
      <c r="X18" s="4" t="str">
        <f t="shared" si="5"/>
        <v>Invalid</v>
      </c>
      <c r="Y18" t="s">
        <v>32</v>
      </c>
      <c r="Z18" t="str">
        <f t="shared" si="6"/>
        <v>Valid</v>
      </c>
      <c r="AA18" t="s">
        <v>44</v>
      </c>
      <c r="AB18" t="s">
        <v>122</v>
      </c>
      <c r="AC18" t="str">
        <f t="shared" si="7"/>
        <v>Valid</v>
      </c>
      <c r="AD18" s="4">
        <v>45608</v>
      </c>
      <c r="AE18" s="4" t="str">
        <f t="shared" si="8"/>
        <v>Invalid</v>
      </c>
      <c r="AF18" t="s">
        <v>46</v>
      </c>
    </row>
    <row r="19" spans="1:32" x14ac:dyDescent="0.3">
      <c r="A19" t="s">
        <v>202</v>
      </c>
      <c r="B19" s="4">
        <v>45574</v>
      </c>
      <c r="C19" t="s">
        <v>203</v>
      </c>
      <c r="D19" t="s">
        <v>25</v>
      </c>
      <c r="E19" t="s">
        <v>1455</v>
      </c>
      <c r="F19" t="s">
        <v>26</v>
      </c>
      <c r="G19" t="s">
        <v>204</v>
      </c>
      <c r="H19">
        <v>1799</v>
      </c>
      <c r="I19" t="str">
        <f t="shared" si="0"/>
        <v>Normal</v>
      </c>
      <c r="J19">
        <v>1</v>
      </c>
      <c r="K19" t="str">
        <f t="shared" si="1"/>
        <v>Normal</v>
      </c>
      <c r="L19">
        <v>1799</v>
      </c>
      <c r="M19">
        <f t="shared" si="2"/>
        <v>1799</v>
      </c>
      <c r="N19" t="str">
        <f t="shared" si="3"/>
        <v>Match</v>
      </c>
      <c r="O19" t="s">
        <v>1140</v>
      </c>
      <c r="P19">
        <v>0</v>
      </c>
      <c r="Q19" t="str">
        <f t="shared" si="4"/>
        <v>Invalid</v>
      </c>
      <c r="R19" t="s">
        <v>28</v>
      </c>
      <c r="S19" t="s">
        <v>61</v>
      </c>
      <c r="T19" t="s">
        <v>87</v>
      </c>
      <c r="U19" t="s">
        <v>88</v>
      </c>
      <c r="V19" t="s">
        <v>30</v>
      </c>
      <c r="W19" s="4">
        <v>45582</v>
      </c>
      <c r="X19" s="4" t="str">
        <f t="shared" si="5"/>
        <v>Invalid</v>
      </c>
      <c r="Y19" t="s">
        <v>32</v>
      </c>
      <c r="Z19" t="str">
        <f t="shared" si="6"/>
        <v>Valid</v>
      </c>
      <c r="AA19" t="s">
        <v>44</v>
      </c>
      <c r="AB19" t="s">
        <v>73</v>
      </c>
      <c r="AC19" t="str">
        <f t="shared" si="7"/>
        <v>Valid</v>
      </c>
      <c r="AD19" s="4">
        <v>45608</v>
      </c>
      <c r="AE19" s="4" t="str">
        <f t="shared" si="8"/>
        <v>Invalid</v>
      </c>
      <c r="AF19" t="s">
        <v>46</v>
      </c>
    </row>
    <row r="20" spans="1:32" x14ac:dyDescent="0.3">
      <c r="A20" t="s">
        <v>244</v>
      </c>
      <c r="B20" s="4">
        <v>45577</v>
      </c>
      <c r="C20" t="s">
        <v>245</v>
      </c>
      <c r="D20" t="s">
        <v>25</v>
      </c>
      <c r="E20" t="s">
        <v>1291</v>
      </c>
      <c r="F20" t="s">
        <v>38</v>
      </c>
      <c r="G20" t="s">
        <v>246</v>
      </c>
      <c r="H20">
        <v>1899</v>
      </c>
      <c r="I20" t="str">
        <f t="shared" si="0"/>
        <v>Normal</v>
      </c>
      <c r="J20">
        <v>1</v>
      </c>
      <c r="K20" t="str">
        <f t="shared" si="1"/>
        <v>Normal</v>
      </c>
      <c r="L20">
        <v>1899</v>
      </c>
      <c r="M20">
        <f t="shared" si="2"/>
        <v>1899</v>
      </c>
      <c r="N20" t="str">
        <f t="shared" si="3"/>
        <v>Match</v>
      </c>
      <c r="O20" t="s">
        <v>1140</v>
      </c>
      <c r="P20">
        <v>0</v>
      </c>
      <c r="Q20" t="str">
        <f t="shared" si="4"/>
        <v>Invalid</v>
      </c>
      <c r="R20" t="s">
        <v>60</v>
      </c>
      <c r="S20" t="s">
        <v>61</v>
      </c>
      <c r="T20" t="s">
        <v>153</v>
      </c>
      <c r="U20" t="s">
        <v>63</v>
      </c>
      <c r="V20" t="s">
        <v>53</v>
      </c>
      <c r="W20" s="4">
        <v>45587</v>
      </c>
      <c r="X20" s="4" t="str">
        <f t="shared" si="5"/>
        <v>Invalid</v>
      </c>
      <c r="Y20" t="s">
        <v>32</v>
      </c>
      <c r="Z20" t="str">
        <f t="shared" si="6"/>
        <v>Valid</v>
      </c>
      <c r="AA20" t="s">
        <v>44</v>
      </c>
      <c r="AB20" t="s">
        <v>64</v>
      </c>
      <c r="AC20" t="str">
        <f t="shared" si="7"/>
        <v>Valid</v>
      </c>
      <c r="AD20" s="4">
        <v>45610</v>
      </c>
      <c r="AE20" s="4" t="str">
        <f t="shared" si="8"/>
        <v>Invalid</v>
      </c>
      <c r="AF20" t="s">
        <v>46</v>
      </c>
    </row>
    <row r="21" spans="1:32" x14ac:dyDescent="0.3">
      <c r="A21" t="s">
        <v>235</v>
      </c>
      <c r="B21" s="4">
        <v>45577</v>
      </c>
      <c r="C21" t="s">
        <v>236</v>
      </c>
      <c r="D21" t="s">
        <v>25</v>
      </c>
      <c r="E21" t="s">
        <v>1385</v>
      </c>
      <c r="F21" t="s">
        <v>57</v>
      </c>
      <c r="G21" t="s">
        <v>237</v>
      </c>
      <c r="H21">
        <v>5999</v>
      </c>
      <c r="I21" t="str">
        <f t="shared" si="0"/>
        <v>Normal</v>
      </c>
      <c r="J21">
        <v>1</v>
      </c>
      <c r="K21" t="str">
        <f t="shared" si="1"/>
        <v>Normal</v>
      </c>
      <c r="L21">
        <v>5999</v>
      </c>
      <c r="M21">
        <f t="shared" si="2"/>
        <v>4799.2</v>
      </c>
      <c r="N21" t="str">
        <f t="shared" si="3"/>
        <v>Mismatch</v>
      </c>
      <c r="O21" t="s">
        <v>40</v>
      </c>
      <c r="P21">
        <v>20</v>
      </c>
      <c r="Q21" t="str">
        <f t="shared" si="4"/>
        <v>Invalid</v>
      </c>
      <c r="R21" t="s">
        <v>41</v>
      </c>
      <c r="S21" t="s">
        <v>42</v>
      </c>
      <c r="T21" t="s">
        <v>140</v>
      </c>
      <c r="U21" t="s">
        <v>141</v>
      </c>
      <c r="V21" t="s">
        <v>43</v>
      </c>
      <c r="W21" s="4">
        <v>45587</v>
      </c>
      <c r="X21" s="4" t="str">
        <f t="shared" si="5"/>
        <v>Invalid</v>
      </c>
      <c r="Y21" t="s">
        <v>32</v>
      </c>
      <c r="Z21" t="str">
        <f t="shared" si="6"/>
        <v>Valid</v>
      </c>
      <c r="AA21" t="s">
        <v>44</v>
      </c>
      <c r="AB21" t="s">
        <v>45</v>
      </c>
      <c r="AC21" t="str">
        <f t="shared" si="7"/>
        <v>Valid</v>
      </c>
      <c r="AD21" s="4">
        <v>45611</v>
      </c>
      <c r="AE21" s="4" t="str">
        <f t="shared" si="8"/>
        <v>Invalid</v>
      </c>
      <c r="AF21" t="s">
        <v>46</v>
      </c>
    </row>
    <row r="22" spans="1:32" x14ac:dyDescent="0.3">
      <c r="A22" t="s">
        <v>259</v>
      </c>
      <c r="B22" s="4">
        <v>45579</v>
      </c>
      <c r="C22" t="s">
        <v>260</v>
      </c>
      <c r="D22" t="s">
        <v>25</v>
      </c>
      <c r="E22" t="s">
        <v>1335</v>
      </c>
      <c r="F22" t="s">
        <v>38</v>
      </c>
      <c r="G22" t="s">
        <v>261</v>
      </c>
      <c r="H22">
        <v>2799</v>
      </c>
      <c r="I22" t="str">
        <f t="shared" si="0"/>
        <v>Normal</v>
      </c>
      <c r="J22">
        <v>1</v>
      </c>
      <c r="K22" t="str">
        <f t="shared" si="1"/>
        <v>Normal</v>
      </c>
      <c r="L22">
        <v>2799</v>
      </c>
      <c r="M22">
        <f t="shared" si="2"/>
        <v>2799</v>
      </c>
      <c r="N22" t="str">
        <f t="shared" si="3"/>
        <v>Match</v>
      </c>
      <c r="O22" t="s">
        <v>1140</v>
      </c>
      <c r="P22">
        <v>0</v>
      </c>
      <c r="Q22" t="str">
        <f t="shared" si="4"/>
        <v>Invalid</v>
      </c>
      <c r="R22" t="s">
        <v>60</v>
      </c>
      <c r="S22" t="s">
        <v>42</v>
      </c>
      <c r="T22" t="s">
        <v>175</v>
      </c>
      <c r="U22" t="s">
        <v>88</v>
      </c>
      <c r="V22" t="s">
        <v>30</v>
      </c>
      <c r="W22" s="4">
        <v>45588</v>
      </c>
      <c r="X22" s="4" t="str">
        <f t="shared" si="5"/>
        <v>Invalid</v>
      </c>
      <c r="Y22" t="s">
        <v>32</v>
      </c>
      <c r="Z22" t="str">
        <f t="shared" si="6"/>
        <v>Valid</v>
      </c>
      <c r="AA22" t="s">
        <v>44</v>
      </c>
      <c r="AB22" t="s">
        <v>73</v>
      </c>
      <c r="AC22" t="str">
        <f t="shared" si="7"/>
        <v>Valid</v>
      </c>
      <c r="AD22" s="4">
        <v>45612</v>
      </c>
      <c r="AE22" s="4" t="str">
        <f t="shared" si="8"/>
        <v>Invalid</v>
      </c>
      <c r="AF22" t="s">
        <v>46</v>
      </c>
    </row>
    <row r="23" spans="1:32" x14ac:dyDescent="0.3">
      <c r="A23" t="s">
        <v>422</v>
      </c>
      <c r="B23" s="4">
        <v>45593</v>
      </c>
      <c r="C23" t="s">
        <v>423</v>
      </c>
      <c r="D23" t="s">
        <v>25</v>
      </c>
      <c r="E23" t="s">
        <v>1295</v>
      </c>
      <c r="F23" t="s">
        <v>38</v>
      </c>
      <c r="G23" t="s">
        <v>424</v>
      </c>
      <c r="H23">
        <v>3499</v>
      </c>
      <c r="I23" t="str">
        <f t="shared" si="0"/>
        <v>Normal</v>
      </c>
      <c r="J23">
        <v>1</v>
      </c>
      <c r="K23" t="str">
        <f t="shared" si="1"/>
        <v>Normal</v>
      </c>
      <c r="L23">
        <v>3499</v>
      </c>
      <c r="M23">
        <f t="shared" si="2"/>
        <v>2099.4</v>
      </c>
      <c r="N23" t="str">
        <f t="shared" si="3"/>
        <v>Mismatch</v>
      </c>
      <c r="O23" t="s">
        <v>425</v>
      </c>
      <c r="P23">
        <v>40</v>
      </c>
      <c r="Q23" t="str">
        <f t="shared" si="4"/>
        <v>Invalid</v>
      </c>
      <c r="R23" t="s">
        <v>41</v>
      </c>
      <c r="S23" t="s">
        <v>29</v>
      </c>
      <c r="T23" t="s">
        <v>43</v>
      </c>
      <c r="U23" t="s">
        <v>43</v>
      </c>
      <c r="V23" t="s">
        <v>43</v>
      </c>
      <c r="W23" s="4">
        <v>45598</v>
      </c>
      <c r="X23" s="4" t="str">
        <f t="shared" si="5"/>
        <v>Invalid</v>
      </c>
      <c r="Y23" t="s">
        <v>32</v>
      </c>
      <c r="Z23" t="str">
        <f t="shared" si="6"/>
        <v>Valid</v>
      </c>
      <c r="AA23" t="s">
        <v>44</v>
      </c>
      <c r="AB23" t="s">
        <v>45</v>
      </c>
      <c r="AC23" t="str">
        <f t="shared" si="7"/>
        <v>Valid</v>
      </c>
      <c r="AD23" s="4">
        <v>45614</v>
      </c>
      <c r="AE23" s="4" t="str">
        <f t="shared" si="8"/>
        <v>Invalid</v>
      </c>
      <c r="AF23" t="s">
        <v>46</v>
      </c>
    </row>
    <row r="24" spans="1:32" x14ac:dyDescent="0.3">
      <c r="A24" t="s">
        <v>250</v>
      </c>
      <c r="B24" s="4">
        <v>45578</v>
      </c>
      <c r="C24" t="s">
        <v>251</v>
      </c>
      <c r="D24" t="s">
        <v>25</v>
      </c>
      <c r="E24" t="s">
        <v>1347</v>
      </c>
      <c r="F24" t="s">
        <v>57</v>
      </c>
      <c r="G24" t="s">
        <v>252</v>
      </c>
      <c r="H24">
        <v>3799</v>
      </c>
      <c r="I24" t="str">
        <f t="shared" si="0"/>
        <v>Normal</v>
      </c>
      <c r="J24">
        <v>1</v>
      </c>
      <c r="K24" t="str">
        <f t="shared" si="1"/>
        <v>Normal</v>
      </c>
      <c r="L24">
        <v>3799</v>
      </c>
      <c r="M24">
        <f t="shared" si="2"/>
        <v>3799</v>
      </c>
      <c r="N24" t="str">
        <f t="shared" si="3"/>
        <v>Match</v>
      </c>
      <c r="O24" t="s">
        <v>1140</v>
      </c>
      <c r="P24">
        <v>0</v>
      </c>
      <c r="Q24" t="str">
        <f t="shared" si="4"/>
        <v>Invalid</v>
      </c>
      <c r="R24" t="s">
        <v>28</v>
      </c>
      <c r="S24" t="s">
        <v>42</v>
      </c>
      <c r="T24" t="s">
        <v>162</v>
      </c>
      <c r="U24" t="s">
        <v>163</v>
      </c>
      <c r="V24" t="s">
        <v>53</v>
      </c>
      <c r="W24" s="4">
        <v>45588</v>
      </c>
      <c r="X24" s="4" t="str">
        <f t="shared" si="5"/>
        <v>Invalid</v>
      </c>
      <c r="Y24" t="s">
        <v>32</v>
      </c>
      <c r="Z24" t="str">
        <f t="shared" si="6"/>
        <v>Valid</v>
      </c>
      <c r="AA24" t="s">
        <v>44</v>
      </c>
      <c r="AB24" t="s">
        <v>45</v>
      </c>
      <c r="AC24" t="str">
        <f t="shared" si="7"/>
        <v>Valid</v>
      </c>
      <c r="AD24" s="4">
        <v>45614</v>
      </c>
      <c r="AE24" s="4" t="str">
        <f t="shared" si="8"/>
        <v>Invalid</v>
      </c>
      <c r="AF24" t="s">
        <v>46</v>
      </c>
    </row>
    <row r="25" spans="1:32" x14ac:dyDescent="0.3">
      <c r="A25" t="s">
        <v>265</v>
      </c>
      <c r="B25" s="4">
        <v>45579</v>
      </c>
      <c r="C25" t="s">
        <v>266</v>
      </c>
      <c r="D25" t="s">
        <v>37</v>
      </c>
      <c r="E25" t="s">
        <v>1388</v>
      </c>
      <c r="F25" t="s">
        <v>57</v>
      </c>
      <c r="G25" t="s">
        <v>267</v>
      </c>
      <c r="H25">
        <v>4499</v>
      </c>
      <c r="I25" t="str">
        <f t="shared" si="0"/>
        <v>Normal</v>
      </c>
      <c r="J25">
        <v>1</v>
      </c>
      <c r="K25" t="str">
        <f t="shared" si="1"/>
        <v>Normal</v>
      </c>
      <c r="L25">
        <v>4499</v>
      </c>
      <c r="M25">
        <f t="shared" si="2"/>
        <v>3824.15</v>
      </c>
      <c r="N25" t="str">
        <f t="shared" si="3"/>
        <v>Mismatch</v>
      </c>
      <c r="O25" t="s">
        <v>59</v>
      </c>
      <c r="P25">
        <v>15</v>
      </c>
      <c r="Q25" t="str">
        <f t="shared" si="4"/>
        <v>Invalid</v>
      </c>
      <c r="R25" t="s">
        <v>28</v>
      </c>
      <c r="S25" t="s">
        <v>61</v>
      </c>
      <c r="T25" t="s">
        <v>183</v>
      </c>
      <c r="U25" t="s">
        <v>102</v>
      </c>
      <c r="V25" t="s">
        <v>43</v>
      </c>
      <c r="W25" s="4">
        <v>45590</v>
      </c>
      <c r="X25" s="4" t="str">
        <f t="shared" si="5"/>
        <v>Invalid</v>
      </c>
      <c r="Y25" t="s">
        <v>32</v>
      </c>
      <c r="Z25" t="str">
        <f t="shared" si="6"/>
        <v>Valid</v>
      </c>
      <c r="AA25" t="s">
        <v>44</v>
      </c>
      <c r="AB25" t="s">
        <v>94</v>
      </c>
      <c r="AC25" t="str">
        <f t="shared" si="7"/>
        <v>Valid</v>
      </c>
      <c r="AD25" s="4">
        <v>45616</v>
      </c>
      <c r="AE25" s="4" t="str">
        <f t="shared" si="8"/>
        <v>Invalid</v>
      </c>
      <c r="AF25" t="s">
        <v>46</v>
      </c>
    </row>
    <row r="26" spans="1:32" x14ac:dyDescent="0.3">
      <c r="A26" t="s">
        <v>426</v>
      </c>
      <c r="B26" s="4">
        <v>45593</v>
      </c>
      <c r="C26" t="s">
        <v>427</v>
      </c>
      <c r="D26" t="s">
        <v>25</v>
      </c>
      <c r="E26" t="s">
        <v>1362</v>
      </c>
      <c r="F26" t="s">
        <v>57</v>
      </c>
      <c r="G26" t="s">
        <v>428</v>
      </c>
      <c r="H26">
        <v>5999</v>
      </c>
      <c r="I26" t="str">
        <f t="shared" si="0"/>
        <v>Normal</v>
      </c>
      <c r="J26">
        <v>1</v>
      </c>
      <c r="K26" t="str">
        <f t="shared" si="1"/>
        <v>Normal</v>
      </c>
      <c r="L26">
        <v>5999</v>
      </c>
      <c r="M26">
        <f t="shared" si="2"/>
        <v>3599.4</v>
      </c>
      <c r="N26" t="str">
        <f t="shared" si="3"/>
        <v>Mismatch</v>
      </c>
      <c r="O26" t="s">
        <v>425</v>
      </c>
      <c r="P26">
        <v>40</v>
      </c>
      <c r="Q26" t="str">
        <f t="shared" si="4"/>
        <v>Invalid</v>
      </c>
      <c r="R26" t="s">
        <v>52</v>
      </c>
      <c r="S26" t="s">
        <v>42</v>
      </c>
      <c r="T26" t="s">
        <v>30</v>
      </c>
      <c r="U26" t="s">
        <v>31</v>
      </c>
      <c r="V26" t="s">
        <v>30</v>
      </c>
      <c r="W26" s="4">
        <v>45599</v>
      </c>
      <c r="X26" s="4" t="str">
        <f t="shared" si="5"/>
        <v>Invalid</v>
      </c>
      <c r="Y26" t="s">
        <v>32</v>
      </c>
      <c r="Z26" t="str">
        <f t="shared" si="6"/>
        <v>Valid</v>
      </c>
      <c r="AA26" t="s">
        <v>44</v>
      </c>
      <c r="AB26" t="s">
        <v>94</v>
      </c>
      <c r="AC26" t="str">
        <f t="shared" si="7"/>
        <v>Valid</v>
      </c>
      <c r="AD26" s="4">
        <v>45616</v>
      </c>
      <c r="AE26" s="4" t="str">
        <f t="shared" si="8"/>
        <v>Invalid</v>
      </c>
      <c r="AF26" t="s">
        <v>46</v>
      </c>
    </row>
    <row r="27" spans="1:32" x14ac:dyDescent="0.3">
      <c r="A27" t="s">
        <v>292</v>
      </c>
      <c r="B27" s="4">
        <v>45581</v>
      </c>
      <c r="C27" t="s">
        <v>293</v>
      </c>
      <c r="D27" t="s">
        <v>25</v>
      </c>
      <c r="E27" t="s">
        <v>1424</v>
      </c>
      <c r="F27" t="s">
        <v>26</v>
      </c>
      <c r="G27" t="s">
        <v>294</v>
      </c>
      <c r="H27">
        <v>1899</v>
      </c>
      <c r="I27" t="str">
        <f t="shared" si="0"/>
        <v>Normal</v>
      </c>
      <c r="J27">
        <v>1</v>
      </c>
      <c r="K27" t="str">
        <f t="shared" si="1"/>
        <v>Normal</v>
      </c>
      <c r="L27">
        <v>1899</v>
      </c>
      <c r="M27">
        <f t="shared" si="2"/>
        <v>1519.2</v>
      </c>
      <c r="N27" t="str">
        <f t="shared" si="3"/>
        <v>Mismatch</v>
      </c>
      <c r="O27" t="s">
        <v>40</v>
      </c>
      <c r="P27">
        <v>20</v>
      </c>
      <c r="Q27" t="str">
        <f t="shared" si="4"/>
        <v>Invalid</v>
      </c>
      <c r="R27" t="s">
        <v>28</v>
      </c>
      <c r="S27" t="s">
        <v>61</v>
      </c>
      <c r="T27" t="s">
        <v>101</v>
      </c>
      <c r="U27" t="s">
        <v>102</v>
      </c>
      <c r="V27" t="s">
        <v>43</v>
      </c>
      <c r="W27" s="4">
        <v>45592</v>
      </c>
      <c r="X27" s="4" t="str">
        <f t="shared" si="5"/>
        <v>Invalid</v>
      </c>
      <c r="Y27" t="s">
        <v>32</v>
      </c>
      <c r="Z27" t="str">
        <f t="shared" si="6"/>
        <v>Valid</v>
      </c>
      <c r="AA27" t="s">
        <v>44</v>
      </c>
      <c r="AB27" t="s">
        <v>73</v>
      </c>
      <c r="AC27" t="str">
        <f t="shared" si="7"/>
        <v>Valid</v>
      </c>
      <c r="AD27" s="4">
        <v>45616</v>
      </c>
      <c r="AE27" s="4" t="str">
        <f t="shared" si="8"/>
        <v>Invalid</v>
      </c>
      <c r="AF27" t="s">
        <v>46</v>
      </c>
    </row>
    <row r="28" spans="1:32" x14ac:dyDescent="0.3">
      <c r="A28" t="s">
        <v>429</v>
      </c>
      <c r="B28" s="4">
        <v>45593</v>
      </c>
      <c r="C28" t="s">
        <v>430</v>
      </c>
      <c r="D28" t="s">
        <v>25</v>
      </c>
      <c r="E28" t="s">
        <v>1426</v>
      </c>
      <c r="F28" t="s">
        <v>26</v>
      </c>
      <c r="G28" t="s">
        <v>431</v>
      </c>
      <c r="H28">
        <v>2299</v>
      </c>
      <c r="I28" t="str">
        <f t="shared" si="0"/>
        <v>Normal</v>
      </c>
      <c r="J28">
        <v>2</v>
      </c>
      <c r="K28" t="str">
        <f t="shared" si="1"/>
        <v>Normal</v>
      </c>
      <c r="L28">
        <v>4598</v>
      </c>
      <c r="M28">
        <f t="shared" si="2"/>
        <v>2758.7999999999997</v>
      </c>
      <c r="N28" t="str">
        <f t="shared" si="3"/>
        <v>Mismatch</v>
      </c>
      <c r="O28" t="s">
        <v>425</v>
      </c>
      <c r="P28">
        <v>40</v>
      </c>
      <c r="Q28" t="str">
        <f t="shared" si="4"/>
        <v>Invalid</v>
      </c>
      <c r="R28" t="s">
        <v>28</v>
      </c>
      <c r="S28" t="s">
        <v>61</v>
      </c>
      <c r="T28" t="s">
        <v>92</v>
      </c>
      <c r="U28" t="s">
        <v>93</v>
      </c>
      <c r="V28" t="s">
        <v>43</v>
      </c>
      <c r="W28" s="4">
        <v>45600</v>
      </c>
      <c r="X28" s="4" t="str">
        <f t="shared" si="5"/>
        <v>Invalid</v>
      </c>
      <c r="Y28" t="s">
        <v>32</v>
      </c>
      <c r="Z28" t="str">
        <f t="shared" si="6"/>
        <v>Valid</v>
      </c>
      <c r="AA28" t="s">
        <v>44</v>
      </c>
      <c r="AB28" t="s">
        <v>45</v>
      </c>
      <c r="AC28" t="str">
        <f t="shared" si="7"/>
        <v>Valid</v>
      </c>
      <c r="AD28" s="4">
        <v>45618</v>
      </c>
      <c r="AE28" s="4" t="str">
        <f t="shared" si="8"/>
        <v>Invalid</v>
      </c>
      <c r="AF28" t="s">
        <v>46</v>
      </c>
    </row>
    <row r="29" spans="1:32" x14ac:dyDescent="0.3">
      <c r="A29" t="s">
        <v>274</v>
      </c>
      <c r="B29" s="4">
        <v>45580</v>
      </c>
      <c r="C29" t="s">
        <v>275</v>
      </c>
      <c r="D29" t="s">
        <v>25</v>
      </c>
      <c r="E29" t="s">
        <v>1327</v>
      </c>
      <c r="F29" t="s">
        <v>38</v>
      </c>
      <c r="G29" t="s">
        <v>276</v>
      </c>
      <c r="H29">
        <v>2199</v>
      </c>
      <c r="I29" t="str">
        <f t="shared" si="0"/>
        <v>Normal</v>
      </c>
      <c r="J29">
        <v>1</v>
      </c>
      <c r="K29" t="str">
        <f t="shared" si="1"/>
        <v>Normal</v>
      </c>
      <c r="L29">
        <v>2199</v>
      </c>
      <c r="M29">
        <f t="shared" si="2"/>
        <v>1759.2</v>
      </c>
      <c r="N29" t="str">
        <f t="shared" si="3"/>
        <v>Mismatch</v>
      </c>
      <c r="O29" t="s">
        <v>40</v>
      </c>
      <c r="P29">
        <v>20</v>
      </c>
      <c r="Q29" t="str">
        <f t="shared" si="4"/>
        <v>Invalid</v>
      </c>
      <c r="R29" t="s">
        <v>60</v>
      </c>
      <c r="S29" t="s">
        <v>61</v>
      </c>
      <c r="T29" t="s">
        <v>82</v>
      </c>
      <c r="U29" t="s">
        <v>83</v>
      </c>
      <c r="V29" t="s">
        <v>43</v>
      </c>
      <c r="W29" s="4">
        <v>45591</v>
      </c>
      <c r="X29" s="4" t="str">
        <f t="shared" si="5"/>
        <v>Invalid</v>
      </c>
      <c r="Y29" t="s">
        <v>32</v>
      </c>
      <c r="Z29" t="str">
        <f t="shared" si="6"/>
        <v>Valid</v>
      </c>
      <c r="AA29" t="s">
        <v>44</v>
      </c>
      <c r="AB29" t="s">
        <v>45</v>
      </c>
      <c r="AC29" t="str">
        <f t="shared" si="7"/>
        <v>Valid</v>
      </c>
      <c r="AD29" s="4">
        <v>45618</v>
      </c>
      <c r="AE29" s="4" t="str">
        <f t="shared" si="8"/>
        <v>Invalid</v>
      </c>
      <c r="AF29" t="s">
        <v>46</v>
      </c>
    </row>
    <row r="30" spans="1:32" x14ac:dyDescent="0.3">
      <c r="A30" t="s">
        <v>298</v>
      </c>
      <c r="B30" s="4">
        <v>45582</v>
      </c>
      <c r="C30" t="s">
        <v>299</v>
      </c>
      <c r="D30" t="s">
        <v>25</v>
      </c>
      <c r="E30" t="s">
        <v>1156</v>
      </c>
      <c r="F30" t="s">
        <v>66</v>
      </c>
      <c r="G30" t="s">
        <v>300</v>
      </c>
      <c r="H30">
        <v>1599</v>
      </c>
      <c r="I30" t="str">
        <f t="shared" si="0"/>
        <v>Normal</v>
      </c>
      <c r="J30">
        <v>1</v>
      </c>
      <c r="K30" t="str">
        <f t="shared" si="1"/>
        <v>Normal</v>
      </c>
      <c r="L30">
        <v>1599</v>
      </c>
      <c r="M30">
        <f t="shared" si="2"/>
        <v>1599</v>
      </c>
      <c r="N30" t="str">
        <f t="shared" si="3"/>
        <v>Match</v>
      </c>
      <c r="O30" t="s">
        <v>1140</v>
      </c>
      <c r="P30">
        <v>0</v>
      </c>
      <c r="Q30" t="str">
        <f t="shared" si="4"/>
        <v>Invalid</v>
      </c>
      <c r="R30" t="s">
        <v>41</v>
      </c>
      <c r="S30" t="s">
        <v>29</v>
      </c>
      <c r="T30" t="s">
        <v>30</v>
      </c>
      <c r="U30" t="s">
        <v>31</v>
      </c>
      <c r="V30" t="s">
        <v>30</v>
      </c>
      <c r="W30" s="4">
        <v>45592</v>
      </c>
      <c r="X30" s="4" t="str">
        <f t="shared" si="5"/>
        <v>Invalid</v>
      </c>
      <c r="Y30" t="s">
        <v>32</v>
      </c>
      <c r="Z30" t="str">
        <f t="shared" si="6"/>
        <v>Valid</v>
      </c>
      <c r="AA30" t="s">
        <v>44</v>
      </c>
      <c r="AB30" t="s">
        <v>122</v>
      </c>
      <c r="AC30" t="str">
        <f t="shared" si="7"/>
        <v>Valid</v>
      </c>
      <c r="AD30" s="4">
        <v>45618</v>
      </c>
      <c r="AE30" s="4" t="str">
        <f t="shared" si="8"/>
        <v>Invalid</v>
      </c>
      <c r="AF30" t="s">
        <v>46</v>
      </c>
    </row>
    <row r="31" spans="1:32" x14ac:dyDescent="0.3">
      <c r="A31" t="s">
        <v>280</v>
      </c>
      <c r="B31" s="4">
        <v>45580</v>
      </c>
      <c r="C31" t="s">
        <v>281</v>
      </c>
      <c r="D31" t="s">
        <v>25</v>
      </c>
      <c r="E31" t="s">
        <v>1363</v>
      </c>
      <c r="F31" t="s">
        <v>57</v>
      </c>
      <c r="G31" t="s">
        <v>282</v>
      </c>
      <c r="H31">
        <v>2999</v>
      </c>
      <c r="I31" t="str">
        <f t="shared" si="0"/>
        <v>Normal</v>
      </c>
      <c r="J31">
        <v>1</v>
      </c>
      <c r="K31" t="str">
        <f t="shared" si="1"/>
        <v>Normal</v>
      </c>
      <c r="L31">
        <v>2999</v>
      </c>
      <c r="M31">
        <f t="shared" si="2"/>
        <v>2999</v>
      </c>
      <c r="N31" t="str">
        <f t="shared" si="3"/>
        <v>Match</v>
      </c>
      <c r="O31" t="s">
        <v>1140</v>
      </c>
      <c r="P31">
        <v>0</v>
      </c>
      <c r="Q31" t="str">
        <f t="shared" si="4"/>
        <v>Invalid</v>
      </c>
      <c r="R31" t="s">
        <v>41</v>
      </c>
      <c r="S31" t="s">
        <v>29</v>
      </c>
      <c r="T31" t="s">
        <v>71</v>
      </c>
      <c r="U31" t="s">
        <v>72</v>
      </c>
      <c r="V31" t="s">
        <v>53</v>
      </c>
      <c r="W31" s="4">
        <v>45592</v>
      </c>
      <c r="X31" s="4" t="str">
        <f t="shared" si="5"/>
        <v>Invalid</v>
      </c>
      <c r="Y31" t="s">
        <v>32</v>
      </c>
      <c r="Z31" t="str">
        <f t="shared" si="6"/>
        <v>Valid</v>
      </c>
      <c r="AA31" t="s">
        <v>44</v>
      </c>
      <c r="AB31" t="s">
        <v>64</v>
      </c>
      <c r="AC31" t="str">
        <f t="shared" si="7"/>
        <v>Valid</v>
      </c>
      <c r="AD31" s="4">
        <v>45620</v>
      </c>
      <c r="AE31" s="4" t="str">
        <f t="shared" si="8"/>
        <v>Invalid</v>
      </c>
      <c r="AF31" t="s">
        <v>46</v>
      </c>
    </row>
    <row r="32" spans="1:32" x14ac:dyDescent="0.3">
      <c r="A32" t="s">
        <v>286</v>
      </c>
      <c r="B32" s="4">
        <v>45581</v>
      </c>
      <c r="C32" t="s">
        <v>287</v>
      </c>
      <c r="D32" t="s">
        <v>25</v>
      </c>
      <c r="E32" t="s">
        <v>1258</v>
      </c>
      <c r="F32" t="s">
        <v>50</v>
      </c>
      <c r="G32" t="s">
        <v>288</v>
      </c>
      <c r="H32">
        <v>2199</v>
      </c>
      <c r="I32" t="str">
        <f t="shared" si="0"/>
        <v>Normal</v>
      </c>
      <c r="J32">
        <v>1</v>
      </c>
      <c r="K32" t="str">
        <f t="shared" si="1"/>
        <v>Normal</v>
      </c>
      <c r="L32">
        <v>2199</v>
      </c>
      <c r="M32">
        <f t="shared" si="2"/>
        <v>2199</v>
      </c>
      <c r="N32" t="str">
        <f t="shared" si="3"/>
        <v>Match</v>
      </c>
      <c r="O32" t="s">
        <v>1140</v>
      </c>
      <c r="P32">
        <v>0</v>
      </c>
      <c r="Q32" t="str">
        <f t="shared" si="4"/>
        <v>Invalid</v>
      </c>
      <c r="R32" t="s">
        <v>52</v>
      </c>
      <c r="S32" t="s">
        <v>42</v>
      </c>
      <c r="T32" t="s">
        <v>87</v>
      </c>
      <c r="U32" t="s">
        <v>88</v>
      </c>
      <c r="V32" t="s">
        <v>30</v>
      </c>
      <c r="W32" s="4">
        <v>45593</v>
      </c>
      <c r="X32" s="4" t="str">
        <f t="shared" si="5"/>
        <v>Invalid</v>
      </c>
      <c r="Y32" t="s">
        <v>32</v>
      </c>
      <c r="Z32" t="str">
        <f t="shared" si="6"/>
        <v>Valid</v>
      </c>
      <c r="AA32" t="s">
        <v>44</v>
      </c>
      <c r="AB32" t="s">
        <v>45</v>
      </c>
      <c r="AC32" t="str">
        <f t="shared" si="7"/>
        <v>Valid</v>
      </c>
      <c r="AD32" s="4">
        <v>45621</v>
      </c>
      <c r="AE32" s="4" t="str">
        <f t="shared" si="8"/>
        <v>Invalid</v>
      </c>
      <c r="AF32" t="s">
        <v>46</v>
      </c>
    </row>
    <row r="33" spans="1:32" x14ac:dyDescent="0.3">
      <c r="A33" t="s">
        <v>322</v>
      </c>
      <c r="B33" s="4">
        <v>45584</v>
      </c>
      <c r="C33" t="s">
        <v>323</v>
      </c>
      <c r="D33" t="s">
        <v>25</v>
      </c>
      <c r="E33" t="s">
        <v>1413</v>
      </c>
      <c r="F33" t="s">
        <v>26</v>
      </c>
      <c r="G33" t="s">
        <v>324</v>
      </c>
      <c r="H33">
        <v>1799</v>
      </c>
      <c r="I33" t="str">
        <f t="shared" si="0"/>
        <v>Normal</v>
      </c>
      <c r="J33">
        <v>1</v>
      </c>
      <c r="K33" t="str">
        <f t="shared" si="1"/>
        <v>Normal</v>
      </c>
      <c r="L33">
        <v>1799</v>
      </c>
      <c r="M33">
        <f t="shared" si="2"/>
        <v>1619.1000000000001</v>
      </c>
      <c r="N33" t="str">
        <f t="shared" si="3"/>
        <v>Mismatch</v>
      </c>
      <c r="O33" t="s">
        <v>99</v>
      </c>
      <c r="P33">
        <v>10</v>
      </c>
      <c r="Q33" t="str">
        <f t="shared" si="4"/>
        <v>Invalid</v>
      </c>
      <c r="R33" t="s">
        <v>52</v>
      </c>
      <c r="S33" t="s">
        <v>42</v>
      </c>
      <c r="T33" t="s">
        <v>145</v>
      </c>
      <c r="U33" t="s">
        <v>132</v>
      </c>
      <c r="V33" t="s">
        <v>30</v>
      </c>
      <c r="W33" s="4">
        <v>45594</v>
      </c>
      <c r="X33" s="4" t="str">
        <f t="shared" si="5"/>
        <v>Invalid</v>
      </c>
      <c r="Y33" t="s">
        <v>32</v>
      </c>
      <c r="Z33" t="str">
        <f t="shared" si="6"/>
        <v>Valid</v>
      </c>
      <c r="AA33" t="s">
        <v>44</v>
      </c>
      <c r="AB33" t="s">
        <v>64</v>
      </c>
      <c r="AC33" t="str">
        <f t="shared" si="7"/>
        <v>Valid</v>
      </c>
      <c r="AD33" s="4">
        <v>45621</v>
      </c>
      <c r="AE33" s="4" t="str">
        <f t="shared" si="8"/>
        <v>Invalid</v>
      </c>
      <c r="AF33" t="s">
        <v>46</v>
      </c>
    </row>
    <row r="34" spans="1:32" x14ac:dyDescent="0.3">
      <c r="A34" t="s">
        <v>437</v>
      </c>
      <c r="B34" s="4">
        <v>45594</v>
      </c>
      <c r="C34" t="s">
        <v>438</v>
      </c>
      <c r="D34" t="s">
        <v>25</v>
      </c>
      <c r="E34" t="s">
        <v>1275</v>
      </c>
      <c r="F34" t="s">
        <v>38</v>
      </c>
      <c r="G34" t="s">
        <v>439</v>
      </c>
      <c r="H34">
        <v>4299</v>
      </c>
      <c r="I34" t="str">
        <f t="shared" si="0"/>
        <v>Normal</v>
      </c>
      <c r="J34">
        <v>1</v>
      </c>
      <c r="K34" t="str">
        <f t="shared" si="1"/>
        <v>Normal</v>
      </c>
      <c r="L34">
        <v>4299</v>
      </c>
      <c r="M34">
        <f t="shared" si="2"/>
        <v>2579.4</v>
      </c>
      <c r="N34" t="str">
        <f t="shared" si="3"/>
        <v>Mismatch</v>
      </c>
      <c r="O34" t="s">
        <v>425</v>
      </c>
      <c r="P34">
        <v>40</v>
      </c>
      <c r="Q34" t="str">
        <f t="shared" si="4"/>
        <v>Invalid</v>
      </c>
      <c r="R34" t="s">
        <v>60</v>
      </c>
      <c r="S34" t="s">
        <v>29</v>
      </c>
      <c r="T34" t="s">
        <v>71</v>
      </c>
      <c r="U34" t="s">
        <v>72</v>
      </c>
      <c r="V34" t="s">
        <v>53</v>
      </c>
      <c r="W34" s="4">
        <v>45601</v>
      </c>
      <c r="X34" s="4" t="str">
        <f t="shared" si="5"/>
        <v>Invalid</v>
      </c>
      <c r="Y34" t="s">
        <v>32</v>
      </c>
      <c r="Z34" t="str">
        <f t="shared" si="6"/>
        <v>Valid</v>
      </c>
      <c r="AA34" t="s">
        <v>44</v>
      </c>
      <c r="AB34" t="s">
        <v>64</v>
      </c>
      <c r="AC34" t="str">
        <f t="shared" si="7"/>
        <v>Valid</v>
      </c>
      <c r="AD34" s="4">
        <v>45621</v>
      </c>
      <c r="AE34" s="4" t="str">
        <f t="shared" si="8"/>
        <v>Invalid</v>
      </c>
      <c r="AF34" t="s">
        <v>46</v>
      </c>
    </row>
    <row r="35" spans="1:32" x14ac:dyDescent="0.3">
      <c r="A35" t="s">
        <v>310</v>
      </c>
      <c r="B35" s="4">
        <v>45583</v>
      </c>
      <c r="C35" t="s">
        <v>311</v>
      </c>
      <c r="D35" t="s">
        <v>25</v>
      </c>
      <c r="E35" t="s">
        <v>1348</v>
      </c>
      <c r="F35" t="s">
        <v>57</v>
      </c>
      <c r="G35" t="s">
        <v>312</v>
      </c>
      <c r="H35">
        <v>2599</v>
      </c>
      <c r="I35" t="str">
        <f t="shared" si="0"/>
        <v>Normal</v>
      </c>
      <c r="J35">
        <v>1</v>
      </c>
      <c r="K35" t="str">
        <f t="shared" si="1"/>
        <v>Normal</v>
      </c>
      <c r="L35">
        <v>2599</v>
      </c>
      <c r="M35">
        <f t="shared" si="2"/>
        <v>2079.2000000000003</v>
      </c>
      <c r="N35" t="str">
        <f t="shared" si="3"/>
        <v>Mismatch</v>
      </c>
      <c r="O35" t="s">
        <v>40</v>
      </c>
      <c r="P35">
        <v>20</v>
      </c>
      <c r="Q35" t="str">
        <f t="shared" si="4"/>
        <v>Invalid</v>
      </c>
      <c r="R35" t="s">
        <v>41</v>
      </c>
      <c r="S35" t="s">
        <v>61</v>
      </c>
      <c r="T35" t="s">
        <v>126</v>
      </c>
      <c r="U35" t="s">
        <v>127</v>
      </c>
      <c r="V35" t="s">
        <v>43</v>
      </c>
      <c r="W35" s="4">
        <v>45595</v>
      </c>
      <c r="X35" s="4" t="str">
        <f t="shared" si="5"/>
        <v>Invalid</v>
      </c>
      <c r="Y35" t="s">
        <v>32</v>
      </c>
      <c r="Z35" t="str">
        <f t="shared" si="6"/>
        <v>Valid</v>
      </c>
      <c r="AA35" t="s">
        <v>44</v>
      </c>
      <c r="AB35" t="s">
        <v>45</v>
      </c>
      <c r="AC35" t="str">
        <f t="shared" si="7"/>
        <v>Valid</v>
      </c>
      <c r="AD35" s="4">
        <v>45622</v>
      </c>
      <c r="AE35" s="4" t="str">
        <f t="shared" si="8"/>
        <v>Invalid</v>
      </c>
      <c r="AF35" t="s">
        <v>46</v>
      </c>
    </row>
    <row r="36" spans="1:32" x14ac:dyDescent="0.3">
      <c r="A36" t="s">
        <v>316</v>
      </c>
      <c r="B36" s="4">
        <v>45583</v>
      </c>
      <c r="C36" t="s">
        <v>317</v>
      </c>
      <c r="D36" t="s">
        <v>25</v>
      </c>
      <c r="E36" t="s">
        <v>1252</v>
      </c>
      <c r="F36" t="s">
        <v>50</v>
      </c>
      <c r="G36" t="s">
        <v>318</v>
      </c>
      <c r="H36">
        <v>1899</v>
      </c>
      <c r="I36" t="str">
        <f t="shared" si="0"/>
        <v>Normal</v>
      </c>
      <c r="J36">
        <v>1</v>
      </c>
      <c r="K36" t="str">
        <f t="shared" si="1"/>
        <v>Normal</v>
      </c>
      <c r="L36">
        <v>1899</v>
      </c>
      <c r="M36">
        <f t="shared" si="2"/>
        <v>1899</v>
      </c>
      <c r="N36" t="str">
        <f t="shared" si="3"/>
        <v>Match</v>
      </c>
      <c r="O36" t="s">
        <v>1140</v>
      </c>
      <c r="P36">
        <v>0</v>
      </c>
      <c r="Q36" t="str">
        <f t="shared" si="4"/>
        <v>Invalid</v>
      </c>
      <c r="R36" t="s">
        <v>60</v>
      </c>
      <c r="S36" t="s">
        <v>29</v>
      </c>
      <c r="T36" t="s">
        <v>136</v>
      </c>
      <c r="U36" t="s">
        <v>88</v>
      </c>
      <c r="V36" t="s">
        <v>30</v>
      </c>
      <c r="W36" s="4">
        <v>45595</v>
      </c>
      <c r="X36" s="4" t="str">
        <f t="shared" si="5"/>
        <v>Invalid</v>
      </c>
      <c r="Y36" t="s">
        <v>32</v>
      </c>
      <c r="Z36" t="str">
        <f t="shared" si="6"/>
        <v>Valid</v>
      </c>
      <c r="AA36" t="s">
        <v>44</v>
      </c>
      <c r="AB36" t="s">
        <v>94</v>
      </c>
      <c r="AC36" t="str">
        <f t="shared" si="7"/>
        <v>Valid</v>
      </c>
      <c r="AD36" s="4">
        <v>45624</v>
      </c>
      <c r="AE36" s="4" t="str">
        <f t="shared" si="8"/>
        <v>Invalid</v>
      </c>
      <c r="AF36" t="s">
        <v>46</v>
      </c>
    </row>
    <row r="37" spans="1:32" x14ac:dyDescent="0.3">
      <c r="A37" t="s">
        <v>328</v>
      </c>
      <c r="B37" s="4">
        <v>45584</v>
      </c>
      <c r="C37" t="s">
        <v>329</v>
      </c>
      <c r="D37" t="s">
        <v>25</v>
      </c>
      <c r="E37" t="s">
        <v>1203</v>
      </c>
      <c r="F37" t="s">
        <v>66</v>
      </c>
      <c r="G37" t="s">
        <v>330</v>
      </c>
      <c r="H37">
        <v>999</v>
      </c>
      <c r="I37" t="str">
        <f t="shared" si="0"/>
        <v>Normal</v>
      </c>
      <c r="J37">
        <v>1</v>
      </c>
      <c r="K37" t="str">
        <f t="shared" si="1"/>
        <v>Normal</v>
      </c>
      <c r="L37">
        <v>999</v>
      </c>
      <c r="M37">
        <f t="shared" si="2"/>
        <v>999</v>
      </c>
      <c r="N37" t="str">
        <f t="shared" si="3"/>
        <v>Match</v>
      </c>
      <c r="O37" t="s">
        <v>1140</v>
      </c>
      <c r="P37">
        <v>0</v>
      </c>
      <c r="Q37" t="str">
        <f t="shared" si="4"/>
        <v>Invalid</v>
      </c>
      <c r="R37" t="s">
        <v>100</v>
      </c>
      <c r="S37" t="s">
        <v>61</v>
      </c>
      <c r="T37" t="s">
        <v>153</v>
      </c>
      <c r="U37" t="s">
        <v>63</v>
      </c>
      <c r="V37" t="s">
        <v>53</v>
      </c>
      <c r="W37" s="4">
        <v>45595</v>
      </c>
      <c r="X37" s="4" t="str">
        <f t="shared" si="5"/>
        <v>Invalid</v>
      </c>
      <c r="Y37" t="s">
        <v>32</v>
      </c>
      <c r="Z37" t="str">
        <f t="shared" si="6"/>
        <v>Valid</v>
      </c>
      <c r="AA37" t="s">
        <v>44</v>
      </c>
      <c r="AB37" t="s">
        <v>45</v>
      </c>
      <c r="AC37" t="str">
        <f t="shared" si="7"/>
        <v>Valid</v>
      </c>
      <c r="AD37" s="4">
        <v>45624</v>
      </c>
      <c r="AE37" s="4" t="str">
        <f t="shared" si="8"/>
        <v>Invalid</v>
      </c>
      <c r="AF37" t="s">
        <v>46</v>
      </c>
    </row>
    <row r="38" spans="1:32" x14ac:dyDescent="0.3">
      <c r="A38" t="s">
        <v>440</v>
      </c>
      <c r="B38" s="4">
        <v>45594</v>
      </c>
      <c r="C38" t="s">
        <v>441</v>
      </c>
      <c r="D38" t="s">
        <v>25</v>
      </c>
      <c r="E38" t="s">
        <v>1425</v>
      </c>
      <c r="F38" t="s">
        <v>26</v>
      </c>
      <c r="G38" t="s">
        <v>442</v>
      </c>
      <c r="H38">
        <v>2599</v>
      </c>
      <c r="I38" t="str">
        <f t="shared" si="0"/>
        <v>Normal</v>
      </c>
      <c r="J38">
        <v>1</v>
      </c>
      <c r="K38" t="str">
        <f t="shared" si="1"/>
        <v>Normal</v>
      </c>
      <c r="L38">
        <v>2599</v>
      </c>
      <c r="M38">
        <f t="shared" si="2"/>
        <v>1559.3999999999999</v>
      </c>
      <c r="N38" t="str">
        <f t="shared" si="3"/>
        <v>Mismatch</v>
      </c>
      <c r="O38" t="s">
        <v>425</v>
      </c>
      <c r="P38">
        <v>40</v>
      </c>
      <c r="Q38" t="str">
        <f t="shared" si="4"/>
        <v>Invalid</v>
      </c>
      <c r="R38" t="s">
        <v>28</v>
      </c>
      <c r="S38" t="s">
        <v>61</v>
      </c>
      <c r="T38" t="s">
        <v>77</v>
      </c>
      <c r="U38" t="s">
        <v>31</v>
      </c>
      <c r="V38" t="s">
        <v>30</v>
      </c>
      <c r="W38" s="4">
        <v>45602</v>
      </c>
      <c r="X38" s="4" t="str">
        <f t="shared" si="5"/>
        <v>Invalid</v>
      </c>
      <c r="Y38" t="s">
        <v>32</v>
      </c>
      <c r="Z38" t="str">
        <f t="shared" si="6"/>
        <v>Valid</v>
      </c>
      <c r="AA38" t="s">
        <v>44</v>
      </c>
      <c r="AB38" t="s">
        <v>73</v>
      </c>
      <c r="AC38" t="str">
        <f t="shared" si="7"/>
        <v>Valid</v>
      </c>
      <c r="AD38" s="4">
        <v>45624</v>
      </c>
      <c r="AE38" s="4" t="str">
        <f t="shared" si="8"/>
        <v>Invalid</v>
      </c>
      <c r="AF38" t="s">
        <v>95</v>
      </c>
    </row>
    <row r="39" spans="1:32" x14ac:dyDescent="0.3">
      <c r="A39" t="s">
        <v>348</v>
      </c>
      <c r="B39" s="4">
        <v>45586</v>
      </c>
      <c r="C39" t="s">
        <v>349</v>
      </c>
      <c r="D39" t="s">
        <v>37</v>
      </c>
      <c r="E39" t="s">
        <v>1322</v>
      </c>
      <c r="F39" t="s">
        <v>38</v>
      </c>
      <c r="G39" t="s">
        <v>350</v>
      </c>
      <c r="H39">
        <v>2699</v>
      </c>
      <c r="I39" t="str">
        <f t="shared" si="0"/>
        <v>Normal</v>
      </c>
      <c r="J39">
        <v>1</v>
      </c>
      <c r="K39" t="str">
        <f t="shared" si="1"/>
        <v>Normal</v>
      </c>
      <c r="L39">
        <v>2699</v>
      </c>
      <c r="M39">
        <f t="shared" si="2"/>
        <v>2159.2000000000003</v>
      </c>
      <c r="N39" t="str">
        <f t="shared" si="3"/>
        <v>Mismatch</v>
      </c>
      <c r="O39" t="s">
        <v>40</v>
      </c>
      <c r="P39">
        <v>20</v>
      </c>
      <c r="Q39" t="str">
        <f t="shared" si="4"/>
        <v>Invalid</v>
      </c>
      <c r="R39" t="s">
        <v>41</v>
      </c>
      <c r="S39" t="s">
        <v>42</v>
      </c>
      <c r="T39" t="s">
        <v>183</v>
      </c>
      <c r="U39" t="s">
        <v>102</v>
      </c>
      <c r="V39" t="s">
        <v>43</v>
      </c>
      <c r="W39" s="4">
        <v>45597</v>
      </c>
      <c r="X39" s="4" t="str">
        <f t="shared" si="5"/>
        <v>Invalid</v>
      </c>
      <c r="Y39" t="s">
        <v>32</v>
      </c>
      <c r="Z39" t="str">
        <f t="shared" si="6"/>
        <v>Valid</v>
      </c>
      <c r="AA39" t="s">
        <v>44</v>
      </c>
      <c r="AB39" t="s">
        <v>64</v>
      </c>
      <c r="AC39" t="str">
        <f t="shared" si="7"/>
        <v>Valid</v>
      </c>
      <c r="AD39" s="4">
        <v>45626</v>
      </c>
      <c r="AE39" s="4" t="str">
        <f t="shared" si="8"/>
        <v>Invalid</v>
      </c>
      <c r="AF39" t="s">
        <v>46</v>
      </c>
    </row>
    <row r="40" spans="1:32" x14ac:dyDescent="0.3">
      <c r="A40" t="s">
        <v>450</v>
      </c>
      <c r="B40" s="4">
        <v>45594</v>
      </c>
      <c r="C40" t="s">
        <v>451</v>
      </c>
      <c r="D40" t="s">
        <v>25</v>
      </c>
      <c r="E40" t="s">
        <v>1199</v>
      </c>
      <c r="F40" t="s">
        <v>66</v>
      </c>
      <c r="G40" t="s">
        <v>452</v>
      </c>
      <c r="H40">
        <v>1299</v>
      </c>
      <c r="I40" t="str">
        <f t="shared" si="0"/>
        <v>Normal</v>
      </c>
      <c r="J40">
        <v>2</v>
      </c>
      <c r="K40" t="str">
        <f t="shared" si="1"/>
        <v>Normal</v>
      </c>
      <c r="L40">
        <v>2598</v>
      </c>
      <c r="M40">
        <f t="shared" si="2"/>
        <v>1558.8</v>
      </c>
      <c r="N40" t="str">
        <f t="shared" si="3"/>
        <v>Mismatch</v>
      </c>
      <c r="O40" t="s">
        <v>425</v>
      </c>
      <c r="P40">
        <v>40</v>
      </c>
      <c r="Q40" t="str">
        <f t="shared" si="4"/>
        <v>Invalid</v>
      </c>
      <c r="R40" t="s">
        <v>52</v>
      </c>
      <c r="S40" t="s">
        <v>61</v>
      </c>
      <c r="T40" t="s">
        <v>82</v>
      </c>
      <c r="U40" t="s">
        <v>83</v>
      </c>
      <c r="V40" t="s">
        <v>43</v>
      </c>
      <c r="W40" s="4">
        <v>45604</v>
      </c>
      <c r="X40" s="4" t="str">
        <f t="shared" si="5"/>
        <v>Invalid</v>
      </c>
      <c r="Y40" t="s">
        <v>32</v>
      </c>
      <c r="Z40" t="str">
        <f t="shared" si="6"/>
        <v>Valid</v>
      </c>
      <c r="AA40" t="s">
        <v>44</v>
      </c>
      <c r="AB40" t="s">
        <v>122</v>
      </c>
      <c r="AC40" t="str">
        <f t="shared" si="7"/>
        <v>Valid</v>
      </c>
      <c r="AD40" s="4">
        <v>45626</v>
      </c>
      <c r="AE40" s="4" t="str">
        <f t="shared" si="8"/>
        <v>Invalid</v>
      </c>
      <c r="AF40" t="s">
        <v>46</v>
      </c>
    </row>
    <row r="41" spans="1:32" x14ac:dyDescent="0.3">
      <c r="A41" t="s">
        <v>334</v>
      </c>
      <c r="B41" s="4">
        <v>45585</v>
      </c>
      <c r="C41" t="s">
        <v>335</v>
      </c>
      <c r="D41" t="s">
        <v>25</v>
      </c>
      <c r="E41" t="s">
        <v>1283</v>
      </c>
      <c r="F41" t="s">
        <v>38</v>
      </c>
      <c r="G41" t="s">
        <v>336</v>
      </c>
      <c r="H41">
        <v>2899</v>
      </c>
      <c r="I41" t="str">
        <f t="shared" si="0"/>
        <v>Normal</v>
      </c>
      <c r="J41">
        <v>1</v>
      </c>
      <c r="K41" t="str">
        <f t="shared" si="1"/>
        <v>Normal</v>
      </c>
      <c r="L41">
        <v>2899</v>
      </c>
      <c r="M41">
        <f t="shared" si="2"/>
        <v>2899</v>
      </c>
      <c r="N41" t="str">
        <f t="shared" si="3"/>
        <v>Match</v>
      </c>
      <c r="O41" t="s">
        <v>1140</v>
      </c>
      <c r="P41">
        <v>0</v>
      </c>
      <c r="Q41" t="str">
        <f t="shared" si="4"/>
        <v>Invalid</v>
      </c>
      <c r="R41" t="s">
        <v>60</v>
      </c>
      <c r="S41" t="s">
        <v>29</v>
      </c>
      <c r="T41" t="s">
        <v>162</v>
      </c>
      <c r="U41" t="s">
        <v>163</v>
      </c>
      <c r="V41" t="s">
        <v>53</v>
      </c>
      <c r="W41" s="4">
        <v>45598</v>
      </c>
      <c r="X41" s="4" t="str">
        <f t="shared" si="5"/>
        <v>Invalid</v>
      </c>
      <c r="Y41" t="s">
        <v>32</v>
      </c>
      <c r="Z41" t="str">
        <f t="shared" si="6"/>
        <v>Valid</v>
      </c>
      <c r="AA41" t="s">
        <v>44</v>
      </c>
      <c r="AB41" t="s">
        <v>73</v>
      </c>
      <c r="AC41" t="str">
        <f t="shared" si="7"/>
        <v>Valid</v>
      </c>
      <c r="AD41" s="4">
        <v>45626</v>
      </c>
      <c r="AE41" s="4" t="str">
        <f t="shared" si="8"/>
        <v>Invalid</v>
      </c>
      <c r="AF41" t="s">
        <v>46</v>
      </c>
    </row>
    <row r="42" spans="1:32" x14ac:dyDescent="0.3">
      <c r="A42" t="s">
        <v>443</v>
      </c>
      <c r="B42" s="4">
        <v>45594</v>
      </c>
      <c r="C42" t="s">
        <v>444</v>
      </c>
      <c r="D42" t="s">
        <v>25</v>
      </c>
      <c r="E42" t="s">
        <v>1393</v>
      </c>
      <c r="F42" t="s">
        <v>57</v>
      </c>
      <c r="G42" t="s">
        <v>445</v>
      </c>
      <c r="H42">
        <v>3999</v>
      </c>
      <c r="I42" t="str">
        <f t="shared" si="0"/>
        <v>Normal</v>
      </c>
      <c r="J42">
        <v>1</v>
      </c>
      <c r="K42" t="str">
        <f t="shared" si="1"/>
        <v>Normal</v>
      </c>
      <c r="L42">
        <v>3999</v>
      </c>
      <c r="M42">
        <f t="shared" si="2"/>
        <v>2399.4</v>
      </c>
      <c r="N42" t="str">
        <f t="shared" si="3"/>
        <v>Mismatch</v>
      </c>
      <c r="O42" t="s">
        <v>425</v>
      </c>
      <c r="P42">
        <v>40</v>
      </c>
      <c r="Q42" t="str">
        <f t="shared" si="4"/>
        <v>Invalid</v>
      </c>
      <c r="R42" t="s">
        <v>41</v>
      </c>
      <c r="S42" t="s">
        <v>42</v>
      </c>
      <c r="T42" t="s">
        <v>446</v>
      </c>
      <c r="U42" t="s">
        <v>107</v>
      </c>
      <c r="V42" t="s">
        <v>43</v>
      </c>
      <c r="W42" s="4">
        <v>45603</v>
      </c>
      <c r="X42" s="4" t="str">
        <f t="shared" si="5"/>
        <v>Invalid</v>
      </c>
      <c r="Y42" t="s">
        <v>32</v>
      </c>
      <c r="Z42" t="str">
        <f t="shared" si="6"/>
        <v>Valid</v>
      </c>
      <c r="AA42" t="s">
        <v>44</v>
      </c>
      <c r="AB42" t="s">
        <v>45</v>
      </c>
      <c r="AC42" t="str">
        <f t="shared" si="7"/>
        <v>Valid</v>
      </c>
      <c r="AD42" s="4">
        <v>45627</v>
      </c>
      <c r="AE42" s="4" t="str">
        <f t="shared" si="8"/>
        <v>Invalid</v>
      </c>
      <c r="AF42" t="s">
        <v>46</v>
      </c>
    </row>
    <row r="43" spans="1:32" x14ac:dyDescent="0.3">
      <c r="A43" t="s">
        <v>340</v>
      </c>
      <c r="B43" s="4">
        <v>45585</v>
      </c>
      <c r="C43" t="s">
        <v>341</v>
      </c>
      <c r="D43" t="s">
        <v>25</v>
      </c>
      <c r="E43" t="s">
        <v>1398</v>
      </c>
      <c r="F43" t="s">
        <v>57</v>
      </c>
      <c r="G43" t="s">
        <v>170</v>
      </c>
      <c r="H43">
        <v>5499</v>
      </c>
      <c r="I43" t="str">
        <f t="shared" si="0"/>
        <v>Normal</v>
      </c>
      <c r="J43">
        <v>1</v>
      </c>
      <c r="K43" t="str">
        <f t="shared" si="1"/>
        <v>Normal</v>
      </c>
      <c r="L43">
        <v>5499</v>
      </c>
      <c r="M43">
        <f t="shared" si="2"/>
        <v>4674.1499999999996</v>
      </c>
      <c r="N43" t="str">
        <f t="shared" si="3"/>
        <v>Mismatch</v>
      </c>
      <c r="O43" t="s">
        <v>59</v>
      </c>
      <c r="P43">
        <v>15</v>
      </c>
      <c r="Q43" t="str">
        <f t="shared" si="4"/>
        <v>Invalid</v>
      </c>
      <c r="R43" t="s">
        <v>41</v>
      </c>
      <c r="S43" t="s">
        <v>42</v>
      </c>
      <c r="T43" t="s">
        <v>171</v>
      </c>
      <c r="U43" t="s">
        <v>54</v>
      </c>
      <c r="V43" t="s">
        <v>53</v>
      </c>
      <c r="W43" s="4">
        <v>45599</v>
      </c>
      <c r="X43" s="4" t="str">
        <f t="shared" si="5"/>
        <v>Invalid</v>
      </c>
      <c r="Y43" t="s">
        <v>32</v>
      </c>
      <c r="Z43" t="str">
        <f t="shared" si="6"/>
        <v>Valid</v>
      </c>
      <c r="AA43" t="s">
        <v>44</v>
      </c>
      <c r="AB43" t="s">
        <v>45</v>
      </c>
      <c r="AC43" t="str">
        <f t="shared" si="7"/>
        <v>Valid</v>
      </c>
      <c r="AD43" s="4">
        <v>45627</v>
      </c>
      <c r="AE43" s="4" t="str">
        <f t="shared" si="8"/>
        <v>Invalid</v>
      </c>
      <c r="AF43" t="s">
        <v>46</v>
      </c>
    </row>
    <row r="44" spans="1:32" x14ac:dyDescent="0.3">
      <c r="A44" t="s">
        <v>456</v>
      </c>
      <c r="B44" s="4">
        <v>45595</v>
      </c>
      <c r="C44" t="s">
        <v>457</v>
      </c>
      <c r="D44" t="s">
        <v>25</v>
      </c>
      <c r="E44" t="s">
        <v>1242</v>
      </c>
      <c r="F44" t="s">
        <v>50</v>
      </c>
      <c r="G44" t="s">
        <v>458</v>
      </c>
      <c r="H44">
        <v>5499</v>
      </c>
      <c r="I44" t="str">
        <f t="shared" si="0"/>
        <v>Normal</v>
      </c>
      <c r="J44">
        <v>1</v>
      </c>
      <c r="K44" t="str">
        <f t="shared" si="1"/>
        <v>Normal</v>
      </c>
      <c r="L44">
        <v>5499</v>
      </c>
      <c r="M44">
        <f t="shared" si="2"/>
        <v>3299.4</v>
      </c>
      <c r="N44" t="str">
        <f t="shared" si="3"/>
        <v>Mismatch</v>
      </c>
      <c r="O44" t="s">
        <v>425</v>
      </c>
      <c r="P44">
        <v>40</v>
      </c>
      <c r="Q44" t="str">
        <f t="shared" si="4"/>
        <v>Invalid</v>
      </c>
      <c r="R44" t="s">
        <v>100</v>
      </c>
      <c r="S44" t="s">
        <v>29</v>
      </c>
      <c r="T44" t="s">
        <v>136</v>
      </c>
      <c r="U44" t="s">
        <v>88</v>
      </c>
      <c r="V44" t="s">
        <v>30</v>
      </c>
      <c r="W44" s="4">
        <v>45604</v>
      </c>
      <c r="X44" s="4" t="str">
        <f t="shared" si="5"/>
        <v>Invalid</v>
      </c>
      <c r="Y44" t="s">
        <v>32</v>
      </c>
      <c r="Z44" t="str">
        <f t="shared" si="6"/>
        <v>Valid</v>
      </c>
      <c r="AA44" t="s">
        <v>44</v>
      </c>
      <c r="AB44" t="s">
        <v>45</v>
      </c>
      <c r="AC44" t="str">
        <f t="shared" si="7"/>
        <v>Valid</v>
      </c>
      <c r="AD44" s="4">
        <v>45627</v>
      </c>
      <c r="AE44" s="4" t="str">
        <f t="shared" si="8"/>
        <v>Invalid</v>
      </c>
      <c r="AF44" t="s">
        <v>46</v>
      </c>
    </row>
    <row r="45" spans="1:32" x14ac:dyDescent="0.3">
      <c r="A45" t="s">
        <v>447</v>
      </c>
      <c r="B45" s="4">
        <v>45594</v>
      </c>
      <c r="C45" t="s">
        <v>448</v>
      </c>
      <c r="D45" t="s">
        <v>37</v>
      </c>
      <c r="E45" t="s">
        <v>1305</v>
      </c>
      <c r="F45" t="s">
        <v>38</v>
      </c>
      <c r="G45" t="s">
        <v>449</v>
      </c>
      <c r="H45">
        <v>8999</v>
      </c>
      <c r="I45" t="str">
        <f t="shared" si="0"/>
        <v>Normal</v>
      </c>
      <c r="J45">
        <v>1</v>
      </c>
      <c r="K45" t="str">
        <f t="shared" si="1"/>
        <v>Normal</v>
      </c>
      <c r="L45">
        <v>8999</v>
      </c>
      <c r="M45">
        <f t="shared" si="2"/>
        <v>5399.4</v>
      </c>
      <c r="N45" t="str">
        <f t="shared" si="3"/>
        <v>Mismatch</v>
      </c>
      <c r="O45" t="s">
        <v>425</v>
      </c>
      <c r="P45">
        <v>40</v>
      </c>
      <c r="Q45" t="str">
        <f t="shared" si="4"/>
        <v>Invalid</v>
      </c>
      <c r="R45" t="s">
        <v>41</v>
      </c>
      <c r="S45" t="s">
        <v>29</v>
      </c>
      <c r="T45" t="s">
        <v>87</v>
      </c>
      <c r="U45" t="s">
        <v>88</v>
      </c>
      <c r="V45" t="s">
        <v>30</v>
      </c>
      <c r="W45" s="4">
        <v>45602</v>
      </c>
      <c r="X45" s="4" t="str">
        <f t="shared" si="5"/>
        <v>Invalid</v>
      </c>
      <c r="Y45" t="s">
        <v>32</v>
      </c>
      <c r="Z45" t="str">
        <f t="shared" si="6"/>
        <v>Valid</v>
      </c>
      <c r="AA45" t="s">
        <v>44</v>
      </c>
      <c r="AB45" t="s">
        <v>45</v>
      </c>
      <c r="AC45" t="str">
        <f t="shared" si="7"/>
        <v>Valid</v>
      </c>
      <c r="AD45" s="4">
        <v>45628</v>
      </c>
      <c r="AE45" s="4" t="str">
        <f t="shared" si="8"/>
        <v>Invalid</v>
      </c>
      <c r="AF45" t="s">
        <v>46</v>
      </c>
    </row>
    <row r="46" spans="1:32" x14ac:dyDescent="0.3">
      <c r="A46" t="s">
        <v>366</v>
      </c>
      <c r="B46" s="4">
        <v>45588</v>
      </c>
      <c r="C46" t="s">
        <v>367</v>
      </c>
      <c r="D46" t="s">
        <v>25</v>
      </c>
      <c r="E46" t="s">
        <v>1468</v>
      </c>
      <c r="F46" t="s">
        <v>26</v>
      </c>
      <c r="G46" t="s">
        <v>368</v>
      </c>
      <c r="H46">
        <v>1399</v>
      </c>
      <c r="I46" t="str">
        <f t="shared" si="0"/>
        <v>Normal</v>
      </c>
      <c r="J46">
        <v>1</v>
      </c>
      <c r="K46" t="str">
        <f t="shared" si="1"/>
        <v>Normal</v>
      </c>
      <c r="L46">
        <v>1399</v>
      </c>
      <c r="M46">
        <f t="shared" si="2"/>
        <v>1119.2</v>
      </c>
      <c r="N46" t="str">
        <f t="shared" si="3"/>
        <v>Mismatch</v>
      </c>
      <c r="O46" t="s">
        <v>40</v>
      </c>
      <c r="P46">
        <v>20</v>
      </c>
      <c r="Q46" t="str">
        <f t="shared" si="4"/>
        <v>Invalid</v>
      </c>
      <c r="R46" t="s">
        <v>100</v>
      </c>
      <c r="S46" t="s">
        <v>42</v>
      </c>
      <c r="T46" t="s">
        <v>77</v>
      </c>
      <c r="U46" t="s">
        <v>31</v>
      </c>
      <c r="V46" t="s">
        <v>30</v>
      </c>
      <c r="W46" s="4">
        <v>45599</v>
      </c>
      <c r="X46" s="4" t="str">
        <f t="shared" si="5"/>
        <v>Invalid</v>
      </c>
      <c r="Y46" t="s">
        <v>32</v>
      </c>
      <c r="Z46" t="str">
        <f t="shared" si="6"/>
        <v>Valid</v>
      </c>
      <c r="AA46" t="s">
        <v>44</v>
      </c>
      <c r="AB46" t="s">
        <v>45</v>
      </c>
      <c r="AC46" t="str">
        <f t="shared" si="7"/>
        <v>Valid</v>
      </c>
      <c r="AD46" s="4">
        <v>45628</v>
      </c>
      <c r="AE46" s="4" t="str">
        <f t="shared" si="8"/>
        <v>Invalid</v>
      </c>
      <c r="AF46" t="s">
        <v>46</v>
      </c>
    </row>
    <row r="47" spans="1:32" x14ac:dyDescent="0.3">
      <c r="A47" t="s">
        <v>354</v>
      </c>
      <c r="B47" s="4">
        <v>45587</v>
      </c>
      <c r="C47" t="s">
        <v>355</v>
      </c>
      <c r="D47" t="s">
        <v>25</v>
      </c>
      <c r="E47" t="s">
        <v>1402</v>
      </c>
      <c r="F47" t="s">
        <v>57</v>
      </c>
      <c r="G47" t="s">
        <v>356</v>
      </c>
      <c r="H47">
        <v>3299</v>
      </c>
      <c r="I47" t="str">
        <f t="shared" si="0"/>
        <v>Normal</v>
      </c>
      <c r="J47">
        <v>1</v>
      </c>
      <c r="K47" t="str">
        <f t="shared" si="1"/>
        <v>Normal</v>
      </c>
      <c r="L47">
        <v>3299</v>
      </c>
      <c r="M47">
        <f t="shared" si="2"/>
        <v>3299</v>
      </c>
      <c r="N47" t="str">
        <f t="shared" si="3"/>
        <v>Match</v>
      </c>
      <c r="O47" t="s">
        <v>1140</v>
      </c>
      <c r="P47">
        <v>0</v>
      </c>
      <c r="Q47" t="str">
        <f t="shared" si="4"/>
        <v>Invalid</v>
      </c>
      <c r="R47" t="s">
        <v>60</v>
      </c>
      <c r="S47" t="s">
        <v>61</v>
      </c>
      <c r="T47" t="s">
        <v>43</v>
      </c>
      <c r="U47" t="s">
        <v>43</v>
      </c>
      <c r="V47" t="s">
        <v>43</v>
      </c>
      <c r="W47" s="4">
        <v>45600</v>
      </c>
      <c r="X47" s="4" t="str">
        <f t="shared" si="5"/>
        <v>Invalid</v>
      </c>
      <c r="Y47" t="s">
        <v>32</v>
      </c>
      <c r="Z47" t="str">
        <f t="shared" si="6"/>
        <v>Valid</v>
      </c>
      <c r="AA47" t="s">
        <v>44</v>
      </c>
      <c r="AB47" t="s">
        <v>94</v>
      </c>
      <c r="AC47" t="str">
        <f t="shared" si="7"/>
        <v>Valid</v>
      </c>
      <c r="AD47" s="4">
        <v>45629</v>
      </c>
      <c r="AE47" s="4" t="str">
        <f t="shared" si="8"/>
        <v>Invalid</v>
      </c>
      <c r="AF47" t="s">
        <v>46</v>
      </c>
    </row>
    <row r="48" spans="1:32" x14ac:dyDescent="0.3">
      <c r="A48" t="s">
        <v>459</v>
      </c>
      <c r="B48" s="4">
        <v>45595</v>
      </c>
      <c r="C48" t="s">
        <v>460</v>
      </c>
      <c r="D48" t="s">
        <v>25</v>
      </c>
      <c r="E48" t="s">
        <v>1323</v>
      </c>
      <c r="F48" t="s">
        <v>38</v>
      </c>
      <c r="G48" t="s">
        <v>461</v>
      </c>
      <c r="H48">
        <v>6999</v>
      </c>
      <c r="I48" t="str">
        <f t="shared" si="0"/>
        <v>Normal</v>
      </c>
      <c r="J48">
        <v>1</v>
      </c>
      <c r="K48" t="str">
        <f t="shared" si="1"/>
        <v>Normal</v>
      </c>
      <c r="L48">
        <v>6999</v>
      </c>
      <c r="M48">
        <f t="shared" si="2"/>
        <v>4199.3999999999996</v>
      </c>
      <c r="N48" t="str">
        <f t="shared" si="3"/>
        <v>Mismatch</v>
      </c>
      <c r="O48" t="s">
        <v>425</v>
      </c>
      <c r="P48">
        <v>40</v>
      </c>
      <c r="Q48" t="str">
        <f t="shared" si="4"/>
        <v>Invalid</v>
      </c>
      <c r="R48" t="s">
        <v>41</v>
      </c>
      <c r="S48" t="s">
        <v>61</v>
      </c>
      <c r="T48" t="s">
        <v>30</v>
      </c>
      <c r="U48" t="s">
        <v>31</v>
      </c>
      <c r="V48" t="s">
        <v>30</v>
      </c>
      <c r="W48" s="4">
        <v>45605</v>
      </c>
      <c r="X48" s="4" t="str">
        <f t="shared" si="5"/>
        <v>Invalid</v>
      </c>
      <c r="Y48" t="s">
        <v>32</v>
      </c>
      <c r="Z48" t="str">
        <f t="shared" si="6"/>
        <v>Valid</v>
      </c>
      <c r="AA48" t="s">
        <v>44</v>
      </c>
      <c r="AB48" t="s">
        <v>45</v>
      </c>
      <c r="AC48" t="str">
        <f t="shared" si="7"/>
        <v>Valid</v>
      </c>
      <c r="AD48" s="4">
        <v>45629</v>
      </c>
      <c r="AE48" s="4" t="str">
        <f t="shared" si="8"/>
        <v>Invalid</v>
      </c>
      <c r="AF48" t="s">
        <v>46</v>
      </c>
    </row>
    <row r="49" spans="1:32" x14ac:dyDescent="0.3">
      <c r="A49" t="s">
        <v>453</v>
      </c>
      <c r="B49" s="4">
        <v>45594</v>
      </c>
      <c r="C49" t="s">
        <v>454</v>
      </c>
      <c r="D49" t="s">
        <v>25</v>
      </c>
      <c r="E49" t="s">
        <v>1463</v>
      </c>
      <c r="F49" t="s">
        <v>26</v>
      </c>
      <c r="G49" t="s">
        <v>455</v>
      </c>
      <c r="H49">
        <v>1999</v>
      </c>
      <c r="I49" t="str">
        <f t="shared" si="0"/>
        <v>Normal</v>
      </c>
      <c r="J49">
        <v>1</v>
      </c>
      <c r="K49" t="str">
        <f t="shared" si="1"/>
        <v>Normal</v>
      </c>
      <c r="L49">
        <v>1999</v>
      </c>
      <c r="M49">
        <f t="shared" si="2"/>
        <v>1199.3999999999999</v>
      </c>
      <c r="N49" t="str">
        <f t="shared" si="3"/>
        <v>Mismatch</v>
      </c>
      <c r="O49" t="s">
        <v>425</v>
      </c>
      <c r="P49">
        <v>40</v>
      </c>
      <c r="Q49" t="str">
        <f t="shared" si="4"/>
        <v>Invalid</v>
      </c>
      <c r="R49" t="s">
        <v>28</v>
      </c>
      <c r="S49" t="s">
        <v>42</v>
      </c>
      <c r="T49" t="s">
        <v>53</v>
      </c>
      <c r="U49" t="s">
        <v>54</v>
      </c>
      <c r="V49" t="s">
        <v>53</v>
      </c>
      <c r="W49" s="4">
        <v>45603</v>
      </c>
      <c r="X49" s="4" t="str">
        <f t="shared" si="5"/>
        <v>Invalid</v>
      </c>
      <c r="Y49" t="s">
        <v>32</v>
      </c>
      <c r="Z49" t="str">
        <f t="shared" si="6"/>
        <v>Valid</v>
      </c>
      <c r="AA49" t="s">
        <v>44</v>
      </c>
      <c r="AB49" t="s">
        <v>64</v>
      </c>
      <c r="AC49" t="str">
        <f t="shared" si="7"/>
        <v>Valid</v>
      </c>
      <c r="AD49" s="4">
        <v>45629</v>
      </c>
      <c r="AE49" s="4" t="str">
        <f t="shared" si="8"/>
        <v>Invalid</v>
      </c>
      <c r="AF49" t="s">
        <v>46</v>
      </c>
    </row>
    <row r="50" spans="1:32" x14ac:dyDescent="0.3">
      <c r="A50" t="s">
        <v>472</v>
      </c>
      <c r="B50" s="4">
        <v>45596</v>
      </c>
      <c r="C50" t="s">
        <v>473</v>
      </c>
      <c r="D50" t="s">
        <v>25</v>
      </c>
      <c r="E50" t="s">
        <v>1294</v>
      </c>
      <c r="F50" t="s">
        <v>38</v>
      </c>
      <c r="G50" t="s">
        <v>474</v>
      </c>
      <c r="H50">
        <v>7499</v>
      </c>
      <c r="I50" t="str">
        <f t="shared" si="0"/>
        <v>Normal</v>
      </c>
      <c r="J50">
        <v>1</v>
      </c>
      <c r="K50" t="str">
        <f t="shared" si="1"/>
        <v>Normal</v>
      </c>
      <c r="L50">
        <v>7499</v>
      </c>
      <c r="M50">
        <f t="shared" si="2"/>
        <v>4499.3999999999996</v>
      </c>
      <c r="N50" t="str">
        <f t="shared" si="3"/>
        <v>Mismatch</v>
      </c>
      <c r="O50" t="s">
        <v>425</v>
      </c>
      <c r="P50">
        <v>40</v>
      </c>
      <c r="Q50" t="str">
        <f t="shared" si="4"/>
        <v>Invalid</v>
      </c>
      <c r="R50" t="s">
        <v>41</v>
      </c>
      <c r="S50" t="s">
        <v>29</v>
      </c>
      <c r="T50" t="s">
        <v>101</v>
      </c>
      <c r="U50" t="s">
        <v>102</v>
      </c>
      <c r="V50" t="s">
        <v>43</v>
      </c>
      <c r="W50" s="4">
        <v>45607</v>
      </c>
      <c r="X50" s="4" t="str">
        <f t="shared" si="5"/>
        <v>Invalid</v>
      </c>
      <c r="Y50" t="s">
        <v>32</v>
      </c>
      <c r="Z50" t="str">
        <f t="shared" si="6"/>
        <v>Valid</v>
      </c>
      <c r="AA50" t="s">
        <v>44</v>
      </c>
      <c r="AB50" t="s">
        <v>45</v>
      </c>
      <c r="AC50" t="str">
        <f t="shared" si="7"/>
        <v>Valid</v>
      </c>
      <c r="AD50" s="4">
        <v>45630</v>
      </c>
      <c r="AE50" s="4" t="str">
        <f t="shared" si="8"/>
        <v>Invalid</v>
      </c>
      <c r="AF50" t="s">
        <v>46</v>
      </c>
    </row>
    <row r="51" spans="1:32" x14ac:dyDescent="0.3">
      <c r="A51" t="s">
        <v>395</v>
      </c>
      <c r="B51" s="4">
        <v>45590</v>
      </c>
      <c r="C51" t="s">
        <v>396</v>
      </c>
      <c r="D51" t="s">
        <v>37</v>
      </c>
      <c r="E51" t="s">
        <v>1460</v>
      </c>
      <c r="F51" t="s">
        <v>26</v>
      </c>
      <c r="G51" t="s">
        <v>397</v>
      </c>
      <c r="H51">
        <v>1199</v>
      </c>
      <c r="I51" t="str">
        <f t="shared" si="0"/>
        <v>Normal</v>
      </c>
      <c r="J51">
        <v>2</v>
      </c>
      <c r="K51" t="str">
        <f t="shared" si="1"/>
        <v>Normal</v>
      </c>
      <c r="L51">
        <v>2398</v>
      </c>
      <c r="M51">
        <f t="shared" si="2"/>
        <v>2398</v>
      </c>
      <c r="N51" t="str">
        <f t="shared" si="3"/>
        <v>Match</v>
      </c>
      <c r="O51" t="s">
        <v>1140</v>
      </c>
      <c r="P51">
        <v>0</v>
      </c>
      <c r="Q51" t="str">
        <f t="shared" si="4"/>
        <v>Invalid</v>
      </c>
      <c r="R51" t="s">
        <v>28</v>
      </c>
      <c r="S51" t="s">
        <v>29</v>
      </c>
      <c r="T51" t="s">
        <v>131</v>
      </c>
      <c r="U51" t="s">
        <v>132</v>
      </c>
      <c r="V51" t="s">
        <v>30</v>
      </c>
      <c r="W51" s="4">
        <v>45601</v>
      </c>
      <c r="X51" s="4" t="str">
        <f t="shared" si="5"/>
        <v>Invalid</v>
      </c>
      <c r="Y51" t="s">
        <v>32</v>
      </c>
      <c r="Z51" t="str">
        <f t="shared" si="6"/>
        <v>Valid</v>
      </c>
      <c r="AA51" t="s">
        <v>44</v>
      </c>
      <c r="AB51" t="s">
        <v>64</v>
      </c>
      <c r="AC51" t="str">
        <f t="shared" si="7"/>
        <v>Valid</v>
      </c>
      <c r="AD51" s="4">
        <v>45630</v>
      </c>
      <c r="AE51" s="4" t="str">
        <f t="shared" si="8"/>
        <v>Invalid</v>
      </c>
      <c r="AF51" t="s">
        <v>46</v>
      </c>
    </row>
    <row r="52" spans="1:32" x14ac:dyDescent="0.3">
      <c r="A52" t="s">
        <v>469</v>
      </c>
      <c r="B52" s="4">
        <v>45595</v>
      </c>
      <c r="C52" t="s">
        <v>470</v>
      </c>
      <c r="D52" t="s">
        <v>25</v>
      </c>
      <c r="E52" t="s">
        <v>1477</v>
      </c>
      <c r="F52" t="s">
        <v>26</v>
      </c>
      <c r="G52" t="s">
        <v>471</v>
      </c>
      <c r="H52">
        <v>3299</v>
      </c>
      <c r="I52" t="str">
        <f t="shared" si="0"/>
        <v>Normal</v>
      </c>
      <c r="J52">
        <v>1</v>
      </c>
      <c r="K52" t="str">
        <f t="shared" si="1"/>
        <v>Normal</v>
      </c>
      <c r="L52">
        <v>3299</v>
      </c>
      <c r="M52">
        <f t="shared" si="2"/>
        <v>1979.3999999999999</v>
      </c>
      <c r="N52" t="str">
        <f t="shared" si="3"/>
        <v>Mismatch</v>
      </c>
      <c r="O52" t="s">
        <v>425</v>
      </c>
      <c r="P52">
        <v>40</v>
      </c>
      <c r="Q52" t="str">
        <f t="shared" si="4"/>
        <v>Invalid</v>
      </c>
      <c r="R52" t="s">
        <v>52</v>
      </c>
      <c r="S52" t="s">
        <v>61</v>
      </c>
      <c r="T52" t="s">
        <v>92</v>
      </c>
      <c r="U52" t="s">
        <v>93</v>
      </c>
      <c r="V52" t="s">
        <v>43</v>
      </c>
      <c r="W52" s="4">
        <v>45608</v>
      </c>
      <c r="X52" s="4" t="str">
        <f t="shared" si="5"/>
        <v>Invalid</v>
      </c>
      <c r="Y52" t="s">
        <v>32</v>
      </c>
      <c r="Z52" t="str">
        <f t="shared" si="6"/>
        <v>Valid</v>
      </c>
      <c r="AA52" t="s">
        <v>44</v>
      </c>
      <c r="AB52" t="s">
        <v>94</v>
      </c>
      <c r="AC52" t="str">
        <f t="shared" si="7"/>
        <v>Valid</v>
      </c>
      <c r="AD52" s="4">
        <v>45631</v>
      </c>
      <c r="AE52" s="4" t="str">
        <f t="shared" si="8"/>
        <v>Invalid</v>
      </c>
      <c r="AF52" t="s">
        <v>95</v>
      </c>
    </row>
    <row r="53" spans="1:32" x14ac:dyDescent="0.3">
      <c r="A53" t="s">
        <v>487</v>
      </c>
      <c r="B53" s="4">
        <v>45597</v>
      </c>
      <c r="C53" t="s">
        <v>488</v>
      </c>
      <c r="D53" t="s">
        <v>25</v>
      </c>
      <c r="E53" t="s">
        <v>1281</v>
      </c>
      <c r="F53" t="s">
        <v>38</v>
      </c>
      <c r="G53" t="s">
        <v>489</v>
      </c>
      <c r="H53">
        <v>3899</v>
      </c>
      <c r="I53" t="str">
        <f t="shared" si="0"/>
        <v>Normal</v>
      </c>
      <c r="J53">
        <v>1</v>
      </c>
      <c r="K53" t="str">
        <f t="shared" si="1"/>
        <v>Normal</v>
      </c>
      <c r="L53">
        <v>3899</v>
      </c>
      <c r="M53">
        <f t="shared" si="2"/>
        <v>2339.4</v>
      </c>
      <c r="N53" t="str">
        <f t="shared" si="3"/>
        <v>Mismatch</v>
      </c>
      <c r="O53" t="s">
        <v>425</v>
      </c>
      <c r="P53">
        <v>40</v>
      </c>
      <c r="Q53" t="str">
        <f t="shared" si="4"/>
        <v>Invalid</v>
      </c>
      <c r="R53" t="s">
        <v>41</v>
      </c>
      <c r="S53" t="s">
        <v>61</v>
      </c>
      <c r="T53" t="s">
        <v>136</v>
      </c>
      <c r="U53" t="s">
        <v>88</v>
      </c>
      <c r="V53" t="s">
        <v>30</v>
      </c>
      <c r="W53" s="4">
        <v>45606</v>
      </c>
      <c r="X53" s="4" t="str">
        <f t="shared" si="5"/>
        <v>Invalid</v>
      </c>
      <c r="Y53" t="s">
        <v>32</v>
      </c>
      <c r="Z53" t="str">
        <f t="shared" si="6"/>
        <v>Valid</v>
      </c>
      <c r="AA53" t="s">
        <v>44</v>
      </c>
      <c r="AB53" t="s">
        <v>94</v>
      </c>
      <c r="AC53" t="str">
        <f t="shared" si="7"/>
        <v>Valid</v>
      </c>
      <c r="AD53" s="4">
        <v>45631</v>
      </c>
      <c r="AE53" s="4" t="str">
        <f t="shared" si="8"/>
        <v>Invalid</v>
      </c>
      <c r="AF53" t="s">
        <v>46</v>
      </c>
    </row>
    <row r="54" spans="1:32" x14ac:dyDescent="0.3">
      <c r="A54" t="s">
        <v>410</v>
      </c>
      <c r="B54" s="4">
        <v>45591</v>
      </c>
      <c r="C54" t="s">
        <v>411</v>
      </c>
      <c r="D54" t="s">
        <v>25</v>
      </c>
      <c r="E54" t="s">
        <v>1422</v>
      </c>
      <c r="F54" t="s">
        <v>26</v>
      </c>
      <c r="G54" t="s">
        <v>412</v>
      </c>
      <c r="H54">
        <v>1599</v>
      </c>
      <c r="I54" t="str">
        <f t="shared" si="0"/>
        <v>Normal</v>
      </c>
      <c r="J54">
        <v>1</v>
      </c>
      <c r="K54" t="str">
        <f t="shared" si="1"/>
        <v>Normal</v>
      </c>
      <c r="L54">
        <v>1599</v>
      </c>
      <c r="M54">
        <f t="shared" si="2"/>
        <v>1359.1499999999999</v>
      </c>
      <c r="N54" t="str">
        <f t="shared" si="3"/>
        <v>Mismatch</v>
      </c>
      <c r="O54" t="s">
        <v>59</v>
      </c>
      <c r="P54">
        <v>15</v>
      </c>
      <c r="Q54" t="str">
        <f t="shared" si="4"/>
        <v>Invalid</v>
      </c>
      <c r="R54" t="s">
        <v>28</v>
      </c>
      <c r="S54" t="s">
        <v>42</v>
      </c>
      <c r="T54" t="s">
        <v>153</v>
      </c>
      <c r="U54" t="s">
        <v>63</v>
      </c>
      <c r="V54" t="s">
        <v>53</v>
      </c>
      <c r="W54" s="4">
        <v>45602</v>
      </c>
      <c r="X54" s="4" t="str">
        <f t="shared" si="5"/>
        <v>Invalid</v>
      </c>
      <c r="Y54" t="s">
        <v>32</v>
      </c>
      <c r="Z54" t="str">
        <f t="shared" si="6"/>
        <v>Valid</v>
      </c>
      <c r="AA54" t="s">
        <v>44</v>
      </c>
      <c r="AB54" t="s">
        <v>45</v>
      </c>
      <c r="AC54" t="str">
        <f t="shared" si="7"/>
        <v>Valid</v>
      </c>
      <c r="AD54" s="4">
        <v>45631</v>
      </c>
      <c r="AE54" s="4" t="str">
        <f t="shared" si="8"/>
        <v>Invalid</v>
      </c>
      <c r="AF54" t="s">
        <v>46</v>
      </c>
    </row>
    <row r="55" spans="1:32" x14ac:dyDescent="0.3">
      <c r="A55" t="s">
        <v>375</v>
      </c>
      <c r="B55" s="4">
        <v>45588</v>
      </c>
      <c r="C55" t="s">
        <v>376</v>
      </c>
      <c r="D55" t="s">
        <v>25</v>
      </c>
      <c r="E55" t="s">
        <v>1250</v>
      </c>
      <c r="F55" t="s">
        <v>50</v>
      </c>
      <c r="G55" t="s">
        <v>377</v>
      </c>
      <c r="H55">
        <v>2199</v>
      </c>
      <c r="I55" t="str">
        <f t="shared" si="0"/>
        <v>Normal</v>
      </c>
      <c r="J55">
        <v>1</v>
      </c>
      <c r="K55" t="str">
        <f t="shared" si="1"/>
        <v>Normal</v>
      </c>
      <c r="L55">
        <v>2199</v>
      </c>
      <c r="M55">
        <f t="shared" si="2"/>
        <v>1869.1499999999999</v>
      </c>
      <c r="N55" t="str">
        <f t="shared" si="3"/>
        <v>Mismatch</v>
      </c>
      <c r="O55" t="s">
        <v>59</v>
      </c>
      <c r="P55">
        <v>15</v>
      </c>
      <c r="Q55" t="str">
        <f t="shared" si="4"/>
        <v>Invalid</v>
      </c>
      <c r="R55" t="s">
        <v>60</v>
      </c>
      <c r="S55" t="s">
        <v>42</v>
      </c>
      <c r="T55" t="s">
        <v>101</v>
      </c>
      <c r="U55" t="s">
        <v>102</v>
      </c>
      <c r="V55" t="s">
        <v>43</v>
      </c>
      <c r="W55" s="4">
        <v>45601</v>
      </c>
      <c r="X55" s="4" t="str">
        <f t="shared" si="5"/>
        <v>Invalid</v>
      </c>
      <c r="Y55" t="s">
        <v>32</v>
      </c>
      <c r="Z55" t="str">
        <f t="shared" si="6"/>
        <v>Valid</v>
      </c>
      <c r="AA55" t="s">
        <v>44</v>
      </c>
      <c r="AB55" t="s">
        <v>122</v>
      </c>
      <c r="AC55" t="str">
        <f t="shared" si="7"/>
        <v>Valid</v>
      </c>
      <c r="AD55" s="4">
        <v>45631</v>
      </c>
      <c r="AE55" s="4" t="str">
        <f t="shared" si="8"/>
        <v>Invalid</v>
      </c>
      <c r="AF55" t="s">
        <v>46</v>
      </c>
    </row>
    <row r="56" spans="1:32" x14ac:dyDescent="0.3">
      <c r="A56" t="s">
        <v>381</v>
      </c>
      <c r="B56" s="4">
        <v>45589</v>
      </c>
      <c r="C56" t="s">
        <v>382</v>
      </c>
      <c r="D56" t="s">
        <v>25</v>
      </c>
      <c r="E56" t="s">
        <v>1434</v>
      </c>
      <c r="F56" t="s">
        <v>26</v>
      </c>
      <c r="G56" t="s">
        <v>383</v>
      </c>
      <c r="H56">
        <v>1299</v>
      </c>
      <c r="I56" t="str">
        <f t="shared" si="0"/>
        <v>Normal</v>
      </c>
      <c r="J56">
        <v>1</v>
      </c>
      <c r="K56" t="str">
        <f t="shared" si="1"/>
        <v>Normal</v>
      </c>
      <c r="L56">
        <v>1299</v>
      </c>
      <c r="M56">
        <f t="shared" si="2"/>
        <v>1299</v>
      </c>
      <c r="N56" t="str">
        <f t="shared" si="3"/>
        <v>Match</v>
      </c>
      <c r="O56" t="s">
        <v>1140</v>
      </c>
      <c r="P56">
        <v>0</v>
      </c>
      <c r="Q56" t="str">
        <f t="shared" si="4"/>
        <v>Invalid</v>
      </c>
      <c r="R56" t="s">
        <v>52</v>
      </c>
      <c r="S56" t="s">
        <v>61</v>
      </c>
      <c r="T56" t="s">
        <v>30</v>
      </c>
      <c r="U56" t="s">
        <v>31</v>
      </c>
      <c r="V56" t="s">
        <v>30</v>
      </c>
      <c r="W56" s="4">
        <v>45602</v>
      </c>
      <c r="X56" s="4" t="str">
        <f t="shared" si="5"/>
        <v>Invalid</v>
      </c>
      <c r="Y56" t="s">
        <v>32</v>
      </c>
      <c r="Z56" t="str">
        <f t="shared" si="6"/>
        <v>Valid</v>
      </c>
      <c r="AA56" t="s">
        <v>44</v>
      </c>
      <c r="AB56" t="s">
        <v>73</v>
      </c>
      <c r="AC56" t="str">
        <f t="shared" si="7"/>
        <v>Valid</v>
      </c>
      <c r="AD56" s="4">
        <v>45631</v>
      </c>
      <c r="AE56" s="4" t="str">
        <f t="shared" si="8"/>
        <v>Invalid</v>
      </c>
      <c r="AF56" t="s">
        <v>46</v>
      </c>
    </row>
    <row r="57" spans="1:32" x14ac:dyDescent="0.3">
      <c r="A57" t="s">
        <v>390</v>
      </c>
      <c r="B57" s="4">
        <v>45590</v>
      </c>
      <c r="C57" t="s">
        <v>391</v>
      </c>
      <c r="D57" t="s">
        <v>25</v>
      </c>
      <c r="E57" t="s">
        <v>1217</v>
      </c>
      <c r="F57" t="s">
        <v>50</v>
      </c>
      <c r="G57" t="s">
        <v>392</v>
      </c>
      <c r="H57">
        <v>1699</v>
      </c>
      <c r="I57" t="str">
        <f t="shared" si="0"/>
        <v>Normal</v>
      </c>
      <c r="J57">
        <v>1</v>
      </c>
      <c r="K57" t="str">
        <f t="shared" si="1"/>
        <v>Normal</v>
      </c>
      <c r="L57">
        <v>1699</v>
      </c>
      <c r="M57">
        <f t="shared" si="2"/>
        <v>1699</v>
      </c>
      <c r="N57" t="str">
        <f t="shared" si="3"/>
        <v>Match</v>
      </c>
      <c r="O57" t="s">
        <v>1140</v>
      </c>
      <c r="P57">
        <v>0</v>
      </c>
      <c r="Q57" t="str">
        <f t="shared" si="4"/>
        <v>Invalid</v>
      </c>
      <c r="R57" t="s">
        <v>60</v>
      </c>
      <c r="S57" t="s">
        <v>61</v>
      </c>
      <c r="T57" t="s">
        <v>121</v>
      </c>
      <c r="U57" t="s">
        <v>102</v>
      </c>
      <c r="V57" t="s">
        <v>43</v>
      </c>
      <c r="W57" s="4">
        <v>45603</v>
      </c>
      <c r="X57" s="4" t="str">
        <f t="shared" si="5"/>
        <v>Invalid</v>
      </c>
      <c r="Y57" t="s">
        <v>32</v>
      </c>
      <c r="Z57" t="str">
        <f t="shared" si="6"/>
        <v>Valid</v>
      </c>
      <c r="AA57" t="s">
        <v>44</v>
      </c>
      <c r="AB57" t="s">
        <v>45</v>
      </c>
      <c r="AC57" t="str">
        <f t="shared" si="7"/>
        <v>Valid</v>
      </c>
      <c r="AD57" s="4">
        <v>45632</v>
      </c>
      <c r="AE57" s="4" t="str">
        <f t="shared" si="8"/>
        <v>Invalid</v>
      </c>
      <c r="AF57" t="s">
        <v>46</v>
      </c>
    </row>
    <row r="58" spans="1:32" x14ac:dyDescent="0.3">
      <c r="A58" t="s">
        <v>416</v>
      </c>
      <c r="B58" s="4">
        <v>45592</v>
      </c>
      <c r="C58" t="s">
        <v>417</v>
      </c>
      <c r="D58" t="s">
        <v>25</v>
      </c>
      <c r="E58" t="s">
        <v>1152</v>
      </c>
      <c r="F58" t="s">
        <v>66</v>
      </c>
      <c r="G58" t="s">
        <v>418</v>
      </c>
      <c r="H58">
        <v>599</v>
      </c>
      <c r="I58" t="str">
        <f t="shared" si="0"/>
        <v>Normal</v>
      </c>
      <c r="J58">
        <v>2</v>
      </c>
      <c r="K58" t="str">
        <f t="shared" si="1"/>
        <v>Normal</v>
      </c>
      <c r="L58">
        <v>1198</v>
      </c>
      <c r="M58">
        <f t="shared" si="2"/>
        <v>1198</v>
      </c>
      <c r="N58" t="str">
        <f t="shared" si="3"/>
        <v>Match</v>
      </c>
      <c r="O58" t="s">
        <v>1140</v>
      </c>
      <c r="P58">
        <v>0</v>
      </c>
      <c r="Q58" t="str">
        <f t="shared" si="4"/>
        <v>Invalid</v>
      </c>
      <c r="R58" t="s">
        <v>52</v>
      </c>
      <c r="S58" t="s">
        <v>61</v>
      </c>
      <c r="T58" t="s">
        <v>162</v>
      </c>
      <c r="U58" t="s">
        <v>163</v>
      </c>
      <c r="V58" t="s">
        <v>53</v>
      </c>
      <c r="W58" s="4">
        <v>45603</v>
      </c>
      <c r="X58" s="4" t="str">
        <f t="shared" si="5"/>
        <v>Invalid</v>
      </c>
      <c r="Y58" t="s">
        <v>32</v>
      </c>
      <c r="Z58" t="str">
        <f t="shared" si="6"/>
        <v>Valid</v>
      </c>
      <c r="AA58" t="s">
        <v>44</v>
      </c>
      <c r="AB58" t="s">
        <v>122</v>
      </c>
      <c r="AC58" t="str">
        <f t="shared" si="7"/>
        <v>Valid</v>
      </c>
      <c r="AD58" s="4">
        <v>45632</v>
      </c>
      <c r="AE58" s="4" t="str">
        <f t="shared" si="8"/>
        <v>Invalid</v>
      </c>
      <c r="AF58" t="s">
        <v>46</v>
      </c>
    </row>
    <row r="59" spans="1:32" x14ac:dyDescent="0.3">
      <c r="A59" t="s">
        <v>475</v>
      </c>
      <c r="B59" s="4">
        <v>45596</v>
      </c>
      <c r="C59" t="s">
        <v>476</v>
      </c>
      <c r="D59" t="s">
        <v>25</v>
      </c>
      <c r="E59" t="s">
        <v>1261</v>
      </c>
      <c r="F59" t="s">
        <v>50</v>
      </c>
      <c r="G59" t="s">
        <v>477</v>
      </c>
      <c r="H59">
        <v>3299</v>
      </c>
      <c r="I59" t="str">
        <f t="shared" si="0"/>
        <v>Normal</v>
      </c>
      <c r="J59">
        <v>1</v>
      </c>
      <c r="K59" t="str">
        <f t="shared" si="1"/>
        <v>Normal</v>
      </c>
      <c r="L59">
        <v>3299</v>
      </c>
      <c r="M59">
        <f t="shared" si="2"/>
        <v>1979.3999999999999</v>
      </c>
      <c r="N59" t="str">
        <f t="shared" si="3"/>
        <v>Mismatch</v>
      </c>
      <c r="O59" t="s">
        <v>425</v>
      </c>
      <c r="P59">
        <v>40</v>
      </c>
      <c r="Q59" t="str">
        <f t="shared" si="4"/>
        <v>Invalid</v>
      </c>
      <c r="R59" t="s">
        <v>28</v>
      </c>
      <c r="S59" t="s">
        <v>42</v>
      </c>
      <c r="T59" t="s">
        <v>106</v>
      </c>
      <c r="U59" t="s">
        <v>107</v>
      </c>
      <c r="V59" t="s">
        <v>43</v>
      </c>
      <c r="W59" s="4">
        <v>45608</v>
      </c>
      <c r="X59" s="4" t="str">
        <f t="shared" si="5"/>
        <v>Invalid</v>
      </c>
      <c r="Y59" t="s">
        <v>32</v>
      </c>
      <c r="Z59" t="str">
        <f t="shared" si="6"/>
        <v>Valid</v>
      </c>
      <c r="AA59" t="s">
        <v>44</v>
      </c>
      <c r="AB59" t="s">
        <v>73</v>
      </c>
      <c r="AC59" t="str">
        <f t="shared" si="7"/>
        <v>Valid</v>
      </c>
      <c r="AD59" s="4">
        <v>45632</v>
      </c>
      <c r="AE59" s="4" t="str">
        <f t="shared" si="8"/>
        <v>Invalid</v>
      </c>
      <c r="AF59" t="s">
        <v>46</v>
      </c>
    </row>
    <row r="60" spans="1:32" x14ac:dyDescent="0.3">
      <c r="A60" t="s">
        <v>404</v>
      </c>
      <c r="B60" s="4">
        <v>45591</v>
      </c>
      <c r="C60" t="s">
        <v>405</v>
      </c>
      <c r="D60" t="s">
        <v>25</v>
      </c>
      <c r="E60" t="s">
        <v>1266</v>
      </c>
      <c r="F60" t="s">
        <v>50</v>
      </c>
      <c r="G60" t="s">
        <v>406</v>
      </c>
      <c r="H60">
        <v>1999</v>
      </c>
      <c r="I60" t="str">
        <f t="shared" si="0"/>
        <v>Normal</v>
      </c>
      <c r="J60">
        <v>1</v>
      </c>
      <c r="K60" t="str">
        <f t="shared" si="1"/>
        <v>Normal</v>
      </c>
      <c r="L60">
        <v>1999</v>
      </c>
      <c r="M60">
        <f t="shared" si="2"/>
        <v>1999</v>
      </c>
      <c r="N60" t="str">
        <f t="shared" si="3"/>
        <v>Match</v>
      </c>
      <c r="O60" t="s">
        <v>1140</v>
      </c>
      <c r="P60">
        <v>0</v>
      </c>
      <c r="Q60" t="str">
        <f t="shared" si="4"/>
        <v>Invalid</v>
      </c>
      <c r="R60" t="s">
        <v>100</v>
      </c>
      <c r="S60" t="s">
        <v>29</v>
      </c>
      <c r="T60" t="s">
        <v>145</v>
      </c>
      <c r="U60" t="s">
        <v>132</v>
      </c>
      <c r="V60" t="s">
        <v>30</v>
      </c>
      <c r="W60" s="4">
        <v>45603</v>
      </c>
      <c r="X60" s="4" t="str">
        <f t="shared" si="5"/>
        <v>Invalid</v>
      </c>
      <c r="Y60" t="s">
        <v>32</v>
      </c>
      <c r="Z60" t="str">
        <f t="shared" si="6"/>
        <v>Valid</v>
      </c>
      <c r="AA60" t="s">
        <v>44</v>
      </c>
      <c r="AB60" t="s">
        <v>94</v>
      </c>
      <c r="AC60" t="str">
        <f t="shared" si="7"/>
        <v>Valid</v>
      </c>
      <c r="AD60" s="4">
        <v>45633</v>
      </c>
      <c r="AE60" s="4" t="str">
        <f t="shared" si="8"/>
        <v>Invalid</v>
      </c>
      <c r="AF60" t="s">
        <v>46</v>
      </c>
    </row>
    <row r="61" spans="1:32" x14ac:dyDescent="0.3">
      <c r="A61" t="s">
        <v>484</v>
      </c>
      <c r="B61" s="4">
        <v>45596</v>
      </c>
      <c r="C61" t="s">
        <v>485</v>
      </c>
      <c r="D61" t="s">
        <v>25</v>
      </c>
      <c r="E61" t="s">
        <v>1433</v>
      </c>
      <c r="F61" t="s">
        <v>26</v>
      </c>
      <c r="G61" t="s">
        <v>486</v>
      </c>
      <c r="H61">
        <v>2799</v>
      </c>
      <c r="I61" t="str">
        <f t="shared" si="0"/>
        <v>Normal</v>
      </c>
      <c r="J61">
        <v>1</v>
      </c>
      <c r="K61" t="str">
        <f t="shared" si="1"/>
        <v>Normal</v>
      </c>
      <c r="L61">
        <v>2799</v>
      </c>
      <c r="M61">
        <f t="shared" si="2"/>
        <v>1679.3999999999999</v>
      </c>
      <c r="N61" t="str">
        <f t="shared" si="3"/>
        <v>Mismatch</v>
      </c>
      <c r="O61" t="s">
        <v>425</v>
      </c>
      <c r="P61">
        <v>40</v>
      </c>
      <c r="Q61" t="str">
        <f t="shared" si="4"/>
        <v>Invalid</v>
      </c>
      <c r="R61" t="s">
        <v>100</v>
      </c>
      <c r="S61" t="s">
        <v>42</v>
      </c>
      <c r="T61" t="s">
        <v>131</v>
      </c>
      <c r="U61" t="s">
        <v>132</v>
      </c>
      <c r="V61" t="s">
        <v>30</v>
      </c>
      <c r="W61" s="4">
        <v>45608</v>
      </c>
      <c r="X61" s="4" t="str">
        <f t="shared" si="5"/>
        <v>Invalid</v>
      </c>
      <c r="Y61" t="s">
        <v>32</v>
      </c>
      <c r="Z61" t="str">
        <f t="shared" si="6"/>
        <v>Valid</v>
      </c>
      <c r="AA61" t="s">
        <v>44</v>
      </c>
      <c r="AB61" t="s">
        <v>45</v>
      </c>
      <c r="AC61" t="str">
        <f t="shared" si="7"/>
        <v>Valid</v>
      </c>
      <c r="AD61" s="4">
        <v>45633</v>
      </c>
      <c r="AE61" s="4" t="str">
        <f t="shared" si="8"/>
        <v>Invalid</v>
      </c>
      <c r="AF61" t="s">
        <v>46</v>
      </c>
    </row>
    <row r="62" spans="1:32" x14ac:dyDescent="0.3">
      <c r="A62" t="s">
        <v>499</v>
      </c>
      <c r="B62" s="4">
        <v>45598</v>
      </c>
      <c r="C62" t="s">
        <v>500</v>
      </c>
      <c r="D62" t="s">
        <v>25</v>
      </c>
      <c r="E62" t="s">
        <v>1445</v>
      </c>
      <c r="F62" t="s">
        <v>26</v>
      </c>
      <c r="G62" t="s">
        <v>501</v>
      </c>
      <c r="H62">
        <v>2499</v>
      </c>
      <c r="I62" t="str">
        <f t="shared" si="0"/>
        <v>Normal</v>
      </c>
      <c r="J62">
        <v>1</v>
      </c>
      <c r="K62" t="str">
        <f t="shared" si="1"/>
        <v>Normal</v>
      </c>
      <c r="L62">
        <v>2499</v>
      </c>
      <c r="M62">
        <f t="shared" si="2"/>
        <v>1499.3999999999999</v>
      </c>
      <c r="N62" t="str">
        <f t="shared" si="3"/>
        <v>Mismatch</v>
      </c>
      <c r="O62" t="s">
        <v>425</v>
      </c>
      <c r="P62">
        <v>40</v>
      </c>
      <c r="Q62" t="str">
        <f t="shared" si="4"/>
        <v>Invalid</v>
      </c>
      <c r="R62" t="s">
        <v>52</v>
      </c>
      <c r="S62" t="s">
        <v>29</v>
      </c>
      <c r="T62" t="s">
        <v>153</v>
      </c>
      <c r="U62" t="s">
        <v>63</v>
      </c>
      <c r="V62" t="s">
        <v>53</v>
      </c>
      <c r="W62" s="4">
        <v>45608</v>
      </c>
      <c r="X62" s="4" t="str">
        <f t="shared" si="5"/>
        <v>Invalid</v>
      </c>
      <c r="Y62" t="s">
        <v>32</v>
      </c>
      <c r="Z62" t="str">
        <f t="shared" si="6"/>
        <v>Valid</v>
      </c>
      <c r="AA62" t="s">
        <v>44</v>
      </c>
      <c r="AB62" t="s">
        <v>64</v>
      </c>
      <c r="AC62" t="str">
        <f t="shared" si="7"/>
        <v>Valid</v>
      </c>
      <c r="AD62" s="4">
        <v>45634</v>
      </c>
      <c r="AE62" s="4" t="str">
        <f t="shared" si="8"/>
        <v>Invalid</v>
      </c>
      <c r="AF62" t="s">
        <v>46</v>
      </c>
    </row>
    <row r="63" spans="1:32" x14ac:dyDescent="0.3">
      <c r="A63" t="s">
        <v>478</v>
      </c>
      <c r="B63" s="4">
        <v>45596</v>
      </c>
      <c r="C63" t="s">
        <v>479</v>
      </c>
      <c r="D63" t="s">
        <v>37</v>
      </c>
      <c r="E63" t="s">
        <v>1400</v>
      </c>
      <c r="F63" t="s">
        <v>57</v>
      </c>
      <c r="G63" t="s">
        <v>480</v>
      </c>
      <c r="H63">
        <v>5499</v>
      </c>
      <c r="I63" t="str">
        <f t="shared" si="0"/>
        <v>Normal</v>
      </c>
      <c r="J63">
        <v>1</v>
      </c>
      <c r="K63" t="str">
        <f t="shared" si="1"/>
        <v>Normal</v>
      </c>
      <c r="L63">
        <v>5499</v>
      </c>
      <c r="M63">
        <f t="shared" si="2"/>
        <v>3299.4</v>
      </c>
      <c r="N63" t="str">
        <f t="shared" si="3"/>
        <v>Mismatch</v>
      </c>
      <c r="O63" t="s">
        <v>425</v>
      </c>
      <c r="P63">
        <v>40</v>
      </c>
      <c r="Q63" t="str">
        <f t="shared" si="4"/>
        <v>Invalid</v>
      </c>
      <c r="R63" t="s">
        <v>60</v>
      </c>
      <c r="S63" t="s">
        <v>61</v>
      </c>
      <c r="T63" t="s">
        <v>121</v>
      </c>
      <c r="U63" t="s">
        <v>102</v>
      </c>
      <c r="V63" t="s">
        <v>43</v>
      </c>
      <c r="W63" s="4">
        <v>45609</v>
      </c>
      <c r="X63" s="4" t="str">
        <f t="shared" si="5"/>
        <v>Invalid</v>
      </c>
      <c r="Y63" t="s">
        <v>32</v>
      </c>
      <c r="Z63" t="str">
        <f t="shared" si="6"/>
        <v>Valid</v>
      </c>
      <c r="AA63" t="s">
        <v>44</v>
      </c>
      <c r="AB63" t="s">
        <v>64</v>
      </c>
      <c r="AC63" t="str">
        <f t="shared" si="7"/>
        <v>Valid</v>
      </c>
      <c r="AD63" s="4">
        <v>45634</v>
      </c>
      <c r="AE63" s="4" t="str">
        <f t="shared" si="8"/>
        <v>Invalid</v>
      </c>
      <c r="AF63" t="s">
        <v>46</v>
      </c>
    </row>
    <row r="64" spans="1:32" x14ac:dyDescent="0.3">
      <c r="A64" t="s">
        <v>493</v>
      </c>
      <c r="B64" s="4">
        <v>45597</v>
      </c>
      <c r="C64" t="s">
        <v>494</v>
      </c>
      <c r="D64" t="s">
        <v>37</v>
      </c>
      <c r="E64" t="s">
        <v>1406</v>
      </c>
      <c r="F64" t="s">
        <v>57</v>
      </c>
      <c r="G64" t="s">
        <v>495</v>
      </c>
      <c r="H64">
        <v>6499</v>
      </c>
      <c r="I64" t="str">
        <f t="shared" si="0"/>
        <v>Normal</v>
      </c>
      <c r="J64">
        <v>1</v>
      </c>
      <c r="K64" t="str">
        <f t="shared" si="1"/>
        <v>Normal</v>
      </c>
      <c r="L64">
        <v>6499</v>
      </c>
      <c r="M64">
        <f t="shared" si="2"/>
        <v>3899.3999999999996</v>
      </c>
      <c r="N64" t="str">
        <f t="shared" si="3"/>
        <v>Mismatch</v>
      </c>
      <c r="O64" t="s">
        <v>425</v>
      </c>
      <c r="P64">
        <v>40</v>
      </c>
      <c r="Q64" t="str">
        <f t="shared" si="4"/>
        <v>Invalid</v>
      </c>
      <c r="R64" t="s">
        <v>41</v>
      </c>
      <c r="S64" t="s">
        <v>42</v>
      </c>
      <c r="T64" t="s">
        <v>145</v>
      </c>
      <c r="U64" t="s">
        <v>132</v>
      </c>
      <c r="V64" t="s">
        <v>30</v>
      </c>
      <c r="W64" s="4">
        <v>45609</v>
      </c>
      <c r="X64" s="4" t="str">
        <f t="shared" si="5"/>
        <v>Invalid</v>
      </c>
      <c r="Y64" t="s">
        <v>32</v>
      </c>
      <c r="Z64" t="str">
        <f t="shared" si="6"/>
        <v>Valid</v>
      </c>
      <c r="AA64" t="s">
        <v>44</v>
      </c>
      <c r="AB64" t="s">
        <v>45</v>
      </c>
      <c r="AC64" t="str">
        <f t="shared" si="7"/>
        <v>Valid</v>
      </c>
      <c r="AD64" s="4">
        <v>45636</v>
      </c>
      <c r="AE64" s="4" t="str">
        <f t="shared" si="8"/>
        <v>Invalid</v>
      </c>
      <c r="AF64" t="s">
        <v>46</v>
      </c>
    </row>
    <row r="65" spans="1:32" x14ac:dyDescent="0.3">
      <c r="A65" t="s">
        <v>502</v>
      </c>
      <c r="B65" s="4">
        <v>45598</v>
      </c>
      <c r="C65" t="s">
        <v>503</v>
      </c>
      <c r="D65" t="s">
        <v>25</v>
      </c>
      <c r="E65" t="s">
        <v>1320</v>
      </c>
      <c r="F65" t="s">
        <v>38</v>
      </c>
      <c r="G65" t="s">
        <v>504</v>
      </c>
      <c r="H65">
        <v>4599</v>
      </c>
      <c r="I65" t="str">
        <f t="shared" si="0"/>
        <v>Normal</v>
      </c>
      <c r="J65">
        <v>1</v>
      </c>
      <c r="K65" t="str">
        <f t="shared" si="1"/>
        <v>Normal</v>
      </c>
      <c r="L65">
        <v>4599</v>
      </c>
      <c r="M65">
        <f t="shared" si="2"/>
        <v>2759.4</v>
      </c>
      <c r="N65" t="str">
        <f t="shared" si="3"/>
        <v>Mismatch</v>
      </c>
      <c r="O65" t="s">
        <v>425</v>
      </c>
      <c r="P65">
        <v>40</v>
      </c>
      <c r="Q65" t="str">
        <f t="shared" si="4"/>
        <v>Invalid</v>
      </c>
      <c r="R65" t="s">
        <v>28</v>
      </c>
      <c r="S65" t="s">
        <v>42</v>
      </c>
      <c r="T65" t="s">
        <v>157</v>
      </c>
      <c r="U65" t="s">
        <v>158</v>
      </c>
      <c r="V65" t="s">
        <v>53</v>
      </c>
      <c r="W65" s="4">
        <v>45610</v>
      </c>
      <c r="X65" s="4" t="str">
        <f t="shared" si="5"/>
        <v>Invalid</v>
      </c>
      <c r="Y65" t="s">
        <v>32</v>
      </c>
      <c r="Z65" t="str">
        <f t="shared" si="6"/>
        <v>Valid</v>
      </c>
      <c r="AA65" t="s">
        <v>44</v>
      </c>
      <c r="AB65" t="s">
        <v>45</v>
      </c>
      <c r="AC65" t="str">
        <f t="shared" si="7"/>
        <v>Valid</v>
      </c>
      <c r="AD65" s="4">
        <v>45638</v>
      </c>
      <c r="AE65" s="4" t="str">
        <f t="shared" si="8"/>
        <v>Invalid</v>
      </c>
      <c r="AF65" t="s">
        <v>46</v>
      </c>
    </row>
    <row r="66" spans="1:32" x14ac:dyDescent="0.3">
      <c r="A66" t="s">
        <v>511</v>
      </c>
      <c r="B66" s="4">
        <v>45599</v>
      </c>
      <c r="C66" t="s">
        <v>512</v>
      </c>
      <c r="D66" t="s">
        <v>25</v>
      </c>
      <c r="E66" t="s">
        <v>1176</v>
      </c>
      <c r="F66" t="s">
        <v>66</v>
      </c>
      <c r="G66" t="s">
        <v>513</v>
      </c>
      <c r="H66">
        <v>2499</v>
      </c>
      <c r="I66" t="str">
        <f t="shared" ref="I66:I129" si="9">IF(OR(H66&lt;=0,H66&gt;50000),"Outlier","Normal")</f>
        <v>Normal</v>
      </c>
      <c r="J66">
        <v>1</v>
      </c>
      <c r="K66" t="str">
        <f t="shared" ref="K66:K129" si="10">IF(J66&gt;10,"Outlier","Normal")</f>
        <v>Normal</v>
      </c>
      <c r="L66">
        <v>2499</v>
      </c>
      <c r="M66">
        <f t="shared" ref="M66:M129" si="11">H66*J66*(1-(P66/100))</f>
        <v>1499.3999999999999</v>
      </c>
      <c r="N66" t="str">
        <f t="shared" ref="N66:N129" si="12">IF(ABS(L66-M66)&lt;1,"Match","Mismatch")</f>
        <v>Mismatch</v>
      </c>
      <c r="O66" t="s">
        <v>425</v>
      </c>
      <c r="P66">
        <v>40</v>
      </c>
      <c r="Q66" t="str">
        <f t="shared" ref="Q66:Q129" si="13">IF(OR(P66&lt;0,C66&gt;100),"Invalid","valid")</f>
        <v>Invalid</v>
      </c>
      <c r="R66" t="s">
        <v>60</v>
      </c>
      <c r="S66" t="s">
        <v>42</v>
      </c>
      <c r="T66" t="s">
        <v>171</v>
      </c>
      <c r="U66" t="s">
        <v>54</v>
      </c>
      <c r="V66" t="s">
        <v>53</v>
      </c>
      <c r="W66" s="4">
        <v>45610</v>
      </c>
      <c r="X66" s="4" t="str">
        <f t="shared" ref="X66:X129" si="14">IF(AND(B66&lt;&gt;"",W66&lt;&gt;""),IF(B66&lt;D66,"Invalid","Valid"),"Not applicable")</f>
        <v>Invalid</v>
      </c>
      <c r="Y66" t="s">
        <v>32</v>
      </c>
      <c r="Z66" t="str">
        <f t="shared" ref="Z66:Z129" si="15">IF(AND(Y66="Cancelled",W66&lt;&gt;""),"Invalid","Valid")</f>
        <v>Valid</v>
      </c>
      <c r="AA66" t="s">
        <v>44</v>
      </c>
      <c r="AB66" t="s">
        <v>122</v>
      </c>
      <c r="AC66" t="str">
        <f t="shared" ref="AC66:AC129" si="16">IF(AA66="Yes",
   IF(OR(AB66="", AB66="Not Applicable"), "Missing Reason", "Valid"),
   "Not Applicable")</f>
        <v>Valid</v>
      </c>
      <c r="AD66" s="4">
        <v>45638</v>
      </c>
      <c r="AE66" s="4" t="str">
        <f t="shared" ref="AE66:AE129" si="17">IF(AND(W66&lt;&gt;"",AD66&lt;&gt;""),IF(W66&lt;AD66,"Invalid","Valid"),"Not Applicable")</f>
        <v>Invalid</v>
      </c>
      <c r="AF66" t="s">
        <v>46</v>
      </c>
    </row>
    <row r="67" spans="1:32" x14ac:dyDescent="0.3">
      <c r="A67" t="s">
        <v>514</v>
      </c>
      <c r="B67" s="4">
        <v>45599</v>
      </c>
      <c r="C67" t="s">
        <v>515</v>
      </c>
      <c r="D67" t="s">
        <v>25</v>
      </c>
      <c r="E67" t="s">
        <v>1418</v>
      </c>
      <c r="F67" t="s">
        <v>26</v>
      </c>
      <c r="G67" t="s">
        <v>516</v>
      </c>
      <c r="H67">
        <v>2299</v>
      </c>
      <c r="I67" t="str">
        <f t="shared" si="9"/>
        <v>Normal</v>
      </c>
      <c r="J67">
        <v>1</v>
      </c>
      <c r="K67" t="str">
        <f t="shared" si="10"/>
        <v>Normal</v>
      </c>
      <c r="L67">
        <v>2299</v>
      </c>
      <c r="M67">
        <f t="shared" si="11"/>
        <v>1379.3999999999999</v>
      </c>
      <c r="N67" t="str">
        <f t="shared" si="12"/>
        <v>Mismatch</v>
      </c>
      <c r="O67" t="s">
        <v>425</v>
      </c>
      <c r="P67">
        <v>40</v>
      </c>
      <c r="Q67" t="str">
        <f t="shared" si="13"/>
        <v>Invalid</v>
      </c>
      <c r="R67" t="s">
        <v>28</v>
      </c>
      <c r="S67" t="s">
        <v>61</v>
      </c>
      <c r="T67" t="s">
        <v>175</v>
      </c>
      <c r="U67" t="s">
        <v>88</v>
      </c>
      <c r="V67" t="s">
        <v>30</v>
      </c>
      <c r="W67" s="4">
        <v>45611</v>
      </c>
      <c r="X67" s="4" t="str">
        <f t="shared" si="14"/>
        <v>Invalid</v>
      </c>
      <c r="Y67" t="s">
        <v>32</v>
      </c>
      <c r="Z67" t="str">
        <f t="shared" si="15"/>
        <v>Valid</v>
      </c>
      <c r="AA67" t="s">
        <v>44</v>
      </c>
      <c r="AB67" t="s">
        <v>45</v>
      </c>
      <c r="AC67" t="str">
        <f t="shared" si="16"/>
        <v>Valid</v>
      </c>
      <c r="AD67" s="4">
        <v>45639</v>
      </c>
      <c r="AE67" s="4" t="str">
        <f t="shared" si="17"/>
        <v>Invalid</v>
      </c>
      <c r="AF67" t="s">
        <v>46</v>
      </c>
    </row>
    <row r="68" spans="1:32" x14ac:dyDescent="0.3">
      <c r="A68" t="s">
        <v>508</v>
      </c>
      <c r="B68" s="4">
        <v>45598</v>
      </c>
      <c r="C68" t="s">
        <v>509</v>
      </c>
      <c r="D68" t="s">
        <v>37</v>
      </c>
      <c r="E68" t="s">
        <v>1377</v>
      </c>
      <c r="F68" t="s">
        <v>57</v>
      </c>
      <c r="G68" t="s">
        <v>510</v>
      </c>
      <c r="H68">
        <v>7999</v>
      </c>
      <c r="I68" t="str">
        <f t="shared" si="9"/>
        <v>Normal</v>
      </c>
      <c r="J68">
        <v>1</v>
      </c>
      <c r="K68" t="str">
        <f t="shared" si="10"/>
        <v>Normal</v>
      </c>
      <c r="L68">
        <v>7999</v>
      </c>
      <c r="M68">
        <f t="shared" si="11"/>
        <v>4799.3999999999996</v>
      </c>
      <c r="N68" t="str">
        <f t="shared" si="12"/>
        <v>Mismatch</v>
      </c>
      <c r="O68" t="s">
        <v>425</v>
      </c>
      <c r="P68">
        <v>40</v>
      </c>
      <c r="Q68" t="str">
        <f t="shared" si="13"/>
        <v>Invalid</v>
      </c>
      <c r="R68" t="s">
        <v>100</v>
      </c>
      <c r="S68" t="s">
        <v>29</v>
      </c>
      <c r="T68" t="s">
        <v>167</v>
      </c>
      <c r="U68" t="s">
        <v>158</v>
      </c>
      <c r="V68" t="s">
        <v>53</v>
      </c>
      <c r="W68" s="4">
        <v>45611</v>
      </c>
      <c r="X68" s="4" t="str">
        <f t="shared" si="14"/>
        <v>Invalid</v>
      </c>
      <c r="Y68" t="s">
        <v>32</v>
      </c>
      <c r="Z68" t="str">
        <f t="shared" si="15"/>
        <v>Valid</v>
      </c>
      <c r="AA68" t="s">
        <v>44</v>
      </c>
      <c r="AB68" t="s">
        <v>73</v>
      </c>
      <c r="AC68" t="str">
        <f t="shared" si="16"/>
        <v>Valid</v>
      </c>
      <c r="AD68" s="4">
        <v>45640</v>
      </c>
      <c r="AE68" s="4" t="str">
        <f t="shared" si="17"/>
        <v>Invalid</v>
      </c>
      <c r="AF68" t="s">
        <v>46</v>
      </c>
    </row>
    <row r="69" spans="1:32" x14ac:dyDescent="0.3">
      <c r="A69" t="s">
        <v>517</v>
      </c>
      <c r="B69" s="4">
        <v>45599</v>
      </c>
      <c r="C69" t="s">
        <v>518</v>
      </c>
      <c r="D69" t="s">
        <v>25</v>
      </c>
      <c r="E69" t="s">
        <v>1325</v>
      </c>
      <c r="F69" t="s">
        <v>38</v>
      </c>
      <c r="G69" t="s">
        <v>519</v>
      </c>
      <c r="H69">
        <v>5999</v>
      </c>
      <c r="I69" t="str">
        <f t="shared" si="9"/>
        <v>Normal</v>
      </c>
      <c r="J69">
        <v>1</v>
      </c>
      <c r="K69" t="str">
        <f t="shared" si="10"/>
        <v>Normal</v>
      </c>
      <c r="L69">
        <v>5999</v>
      </c>
      <c r="M69">
        <f t="shared" si="11"/>
        <v>3599.4</v>
      </c>
      <c r="N69" t="str">
        <f t="shared" si="12"/>
        <v>Mismatch</v>
      </c>
      <c r="O69" t="s">
        <v>425</v>
      </c>
      <c r="P69">
        <v>40</v>
      </c>
      <c r="Q69" t="str">
        <f t="shared" si="13"/>
        <v>Invalid</v>
      </c>
      <c r="R69" t="s">
        <v>41</v>
      </c>
      <c r="S69" t="s">
        <v>29</v>
      </c>
      <c r="T69" t="s">
        <v>179</v>
      </c>
      <c r="U69" t="s">
        <v>88</v>
      </c>
      <c r="V69" t="s">
        <v>30</v>
      </c>
      <c r="W69" s="4">
        <v>45612</v>
      </c>
      <c r="X69" s="4" t="str">
        <f t="shared" si="14"/>
        <v>Invalid</v>
      </c>
      <c r="Y69" t="s">
        <v>32</v>
      </c>
      <c r="Z69" t="str">
        <f t="shared" si="15"/>
        <v>Valid</v>
      </c>
      <c r="AA69" t="s">
        <v>44</v>
      </c>
      <c r="AB69" t="s">
        <v>94</v>
      </c>
      <c r="AC69" t="str">
        <f t="shared" si="16"/>
        <v>Valid</v>
      </c>
      <c r="AD69" s="4">
        <v>45641</v>
      </c>
      <c r="AE69" s="4" t="str">
        <f t="shared" si="17"/>
        <v>Invalid</v>
      </c>
      <c r="AF69" t="s">
        <v>46</v>
      </c>
    </row>
    <row r="70" spans="1:32" x14ac:dyDescent="0.3">
      <c r="A70" t="s">
        <v>529</v>
      </c>
      <c r="B70" s="4">
        <v>45600</v>
      </c>
      <c r="C70" t="s">
        <v>530</v>
      </c>
      <c r="D70" t="s">
        <v>25</v>
      </c>
      <c r="E70" t="s">
        <v>1412</v>
      </c>
      <c r="F70" t="s">
        <v>26</v>
      </c>
      <c r="G70" t="s">
        <v>531</v>
      </c>
      <c r="H70">
        <v>1899</v>
      </c>
      <c r="I70" t="str">
        <f t="shared" si="9"/>
        <v>Normal</v>
      </c>
      <c r="J70">
        <v>1</v>
      </c>
      <c r="K70" t="str">
        <f t="shared" si="10"/>
        <v>Normal</v>
      </c>
      <c r="L70">
        <v>1899</v>
      </c>
      <c r="M70">
        <f t="shared" si="11"/>
        <v>1139.3999999999999</v>
      </c>
      <c r="N70" t="str">
        <f t="shared" si="12"/>
        <v>Mismatch</v>
      </c>
      <c r="O70" t="s">
        <v>425</v>
      </c>
      <c r="P70">
        <v>40</v>
      </c>
      <c r="Q70" t="str">
        <f t="shared" si="13"/>
        <v>Invalid</v>
      </c>
      <c r="R70" t="s">
        <v>100</v>
      </c>
      <c r="S70" t="s">
        <v>42</v>
      </c>
      <c r="T70" t="s">
        <v>82</v>
      </c>
      <c r="U70" t="s">
        <v>83</v>
      </c>
      <c r="V70" t="s">
        <v>43</v>
      </c>
      <c r="W70" s="4">
        <v>45613</v>
      </c>
      <c r="X70" s="4" t="str">
        <f t="shared" si="14"/>
        <v>Invalid</v>
      </c>
      <c r="Y70" t="s">
        <v>32</v>
      </c>
      <c r="Z70" t="str">
        <f t="shared" si="15"/>
        <v>Valid</v>
      </c>
      <c r="AA70" t="s">
        <v>44</v>
      </c>
      <c r="AB70" t="s">
        <v>45</v>
      </c>
      <c r="AC70" t="str">
        <f t="shared" si="16"/>
        <v>Valid</v>
      </c>
      <c r="AD70" s="4">
        <v>45641</v>
      </c>
      <c r="AE70" s="4" t="str">
        <f t="shared" si="17"/>
        <v>Invalid</v>
      </c>
      <c r="AF70" t="s">
        <v>46</v>
      </c>
    </row>
    <row r="71" spans="1:32" x14ac:dyDescent="0.3">
      <c r="A71" t="s">
        <v>523</v>
      </c>
      <c r="B71" s="4">
        <v>45600</v>
      </c>
      <c r="C71" t="s">
        <v>524</v>
      </c>
      <c r="D71" t="s">
        <v>25</v>
      </c>
      <c r="E71" t="s">
        <v>1384</v>
      </c>
      <c r="F71" t="s">
        <v>57</v>
      </c>
      <c r="G71" t="s">
        <v>525</v>
      </c>
      <c r="H71">
        <v>4299</v>
      </c>
      <c r="I71" t="str">
        <f t="shared" si="9"/>
        <v>Normal</v>
      </c>
      <c r="J71">
        <v>1</v>
      </c>
      <c r="K71" t="str">
        <f t="shared" si="10"/>
        <v>Normal</v>
      </c>
      <c r="L71">
        <v>4299</v>
      </c>
      <c r="M71">
        <f t="shared" si="11"/>
        <v>2579.4</v>
      </c>
      <c r="N71" t="str">
        <f t="shared" si="12"/>
        <v>Mismatch</v>
      </c>
      <c r="O71" t="s">
        <v>425</v>
      </c>
      <c r="P71">
        <v>40</v>
      </c>
      <c r="Q71" t="str">
        <f t="shared" si="13"/>
        <v>Invalid</v>
      </c>
      <c r="R71" t="s">
        <v>41</v>
      </c>
      <c r="S71" t="s">
        <v>61</v>
      </c>
      <c r="T71" t="s">
        <v>30</v>
      </c>
      <c r="U71" t="s">
        <v>31</v>
      </c>
      <c r="V71" t="s">
        <v>30</v>
      </c>
      <c r="W71" s="4">
        <v>45613</v>
      </c>
      <c r="X71" s="4" t="str">
        <f t="shared" si="14"/>
        <v>Invalid</v>
      </c>
      <c r="Y71" t="s">
        <v>32</v>
      </c>
      <c r="Z71" t="str">
        <f t="shared" si="15"/>
        <v>Valid</v>
      </c>
      <c r="AA71" t="s">
        <v>44</v>
      </c>
      <c r="AB71" t="s">
        <v>64</v>
      </c>
      <c r="AC71" t="str">
        <f t="shared" si="16"/>
        <v>Valid</v>
      </c>
      <c r="AD71" s="4">
        <v>45642</v>
      </c>
      <c r="AE71" s="4" t="str">
        <f t="shared" si="17"/>
        <v>Invalid</v>
      </c>
      <c r="AF71" t="s">
        <v>46</v>
      </c>
    </row>
    <row r="72" spans="1:32" x14ac:dyDescent="0.3">
      <c r="A72" t="s">
        <v>541</v>
      </c>
      <c r="B72" s="4">
        <v>45601</v>
      </c>
      <c r="C72" t="s">
        <v>542</v>
      </c>
      <c r="D72" t="s">
        <v>25</v>
      </c>
      <c r="E72" t="s">
        <v>1150</v>
      </c>
      <c r="F72" t="s">
        <v>66</v>
      </c>
      <c r="G72" t="s">
        <v>543</v>
      </c>
      <c r="H72">
        <v>599</v>
      </c>
      <c r="I72" t="str">
        <f t="shared" si="9"/>
        <v>Normal</v>
      </c>
      <c r="J72">
        <v>4</v>
      </c>
      <c r="K72" t="str">
        <f t="shared" si="10"/>
        <v>Normal</v>
      </c>
      <c r="L72">
        <v>2396</v>
      </c>
      <c r="M72">
        <f t="shared" si="11"/>
        <v>1437.6</v>
      </c>
      <c r="N72" t="str">
        <f t="shared" si="12"/>
        <v>Mismatch</v>
      </c>
      <c r="O72" t="s">
        <v>425</v>
      </c>
      <c r="P72">
        <v>40</v>
      </c>
      <c r="Q72" t="str">
        <f t="shared" si="13"/>
        <v>Invalid</v>
      </c>
      <c r="R72" t="s">
        <v>52</v>
      </c>
      <c r="S72" t="s">
        <v>61</v>
      </c>
      <c r="T72" t="s">
        <v>87</v>
      </c>
      <c r="U72" t="s">
        <v>88</v>
      </c>
      <c r="V72" t="s">
        <v>30</v>
      </c>
      <c r="W72" s="4">
        <v>45614</v>
      </c>
      <c r="X72" s="4" t="str">
        <f t="shared" si="14"/>
        <v>Invalid</v>
      </c>
      <c r="Y72" t="s">
        <v>32</v>
      </c>
      <c r="Z72" t="str">
        <f t="shared" si="15"/>
        <v>Valid</v>
      </c>
      <c r="AA72" t="s">
        <v>44</v>
      </c>
      <c r="AB72" t="s">
        <v>122</v>
      </c>
      <c r="AC72" t="str">
        <f t="shared" si="16"/>
        <v>Valid</v>
      </c>
      <c r="AD72" s="4">
        <v>45642</v>
      </c>
      <c r="AE72" s="4" t="str">
        <f t="shared" si="17"/>
        <v>Invalid</v>
      </c>
      <c r="AF72" t="s">
        <v>46</v>
      </c>
    </row>
    <row r="73" spans="1:32" x14ac:dyDescent="0.3">
      <c r="A73" t="s">
        <v>532</v>
      </c>
      <c r="B73" s="4">
        <v>45601</v>
      </c>
      <c r="C73" t="s">
        <v>533</v>
      </c>
      <c r="D73" t="s">
        <v>25</v>
      </c>
      <c r="E73" t="s">
        <v>1306</v>
      </c>
      <c r="F73" t="s">
        <v>38</v>
      </c>
      <c r="G73" t="s">
        <v>534</v>
      </c>
      <c r="H73">
        <v>4899</v>
      </c>
      <c r="I73" t="str">
        <f t="shared" si="9"/>
        <v>Normal</v>
      </c>
      <c r="J73">
        <v>1</v>
      </c>
      <c r="K73" t="str">
        <f t="shared" si="10"/>
        <v>Normal</v>
      </c>
      <c r="L73">
        <v>4899</v>
      </c>
      <c r="M73">
        <f t="shared" si="11"/>
        <v>2939.4</v>
      </c>
      <c r="N73" t="str">
        <f t="shared" si="12"/>
        <v>Mismatch</v>
      </c>
      <c r="O73" t="s">
        <v>425</v>
      </c>
      <c r="P73">
        <v>40</v>
      </c>
      <c r="Q73" t="str">
        <f t="shared" si="13"/>
        <v>Invalid</v>
      </c>
      <c r="R73" t="s">
        <v>60</v>
      </c>
      <c r="S73" t="s">
        <v>61</v>
      </c>
      <c r="T73" t="s">
        <v>62</v>
      </c>
      <c r="U73" t="s">
        <v>63</v>
      </c>
      <c r="V73" t="s">
        <v>53</v>
      </c>
      <c r="W73" s="4">
        <v>45614</v>
      </c>
      <c r="X73" s="4" t="str">
        <f t="shared" si="14"/>
        <v>Invalid</v>
      </c>
      <c r="Y73" t="s">
        <v>32</v>
      </c>
      <c r="Z73" t="str">
        <f t="shared" si="15"/>
        <v>Valid</v>
      </c>
      <c r="AA73" t="s">
        <v>44</v>
      </c>
      <c r="AB73" t="s">
        <v>73</v>
      </c>
      <c r="AC73" t="str">
        <f t="shared" si="16"/>
        <v>Valid</v>
      </c>
      <c r="AD73" s="4">
        <v>45643</v>
      </c>
      <c r="AE73" s="4" t="str">
        <f t="shared" si="17"/>
        <v>Invalid</v>
      </c>
      <c r="AF73" t="s">
        <v>46</v>
      </c>
    </row>
    <row r="74" spans="1:32" x14ac:dyDescent="0.3">
      <c r="A74" t="s">
        <v>538</v>
      </c>
      <c r="B74" s="4">
        <v>45601</v>
      </c>
      <c r="C74" t="s">
        <v>539</v>
      </c>
      <c r="D74" t="s">
        <v>25</v>
      </c>
      <c r="E74" t="s">
        <v>1376</v>
      </c>
      <c r="F74" t="s">
        <v>57</v>
      </c>
      <c r="G74" t="s">
        <v>540</v>
      </c>
      <c r="H74">
        <v>5699</v>
      </c>
      <c r="I74" t="str">
        <f t="shared" si="9"/>
        <v>Normal</v>
      </c>
      <c r="J74">
        <v>1</v>
      </c>
      <c r="K74" t="str">
        <f t="shared" si="10"/>
        <v>Normal</v>
      </c>
      <c r="L74">
        <v>5699</v>
      </c>
      <c r="M74">
        <f t="shared" si="11"/>
        <v>3419.4</v>
      </c>
      <c r="N74" t="str">
        <f t="shared" si="12"/>
        <v>Mismatch</v>
      </c>
      <c r="O74" t="s">
        <v>425</v>
      </c>
      <c r="P74">
        <v>40</v>
      </c>
      <c r="Q74" t="str">
        <f t="shared" si="13"/>
        <v>Invalid</v>
      </c>
      <c r="R74" t="s">
        <v>28</v>
      </c>
      <c r="S74" t="s">
        <v>42</v>
      </c>
      <c r="T74" t="s">
        <v>77</v>
      </c>
      <c r="U74" t="s">
        <v>31</v>
      </c>
      <c r="V74" t="s">
        <v>30</v>
      </c>
      <c r="W74" s="4">
        <v>45615</v>
      </c>
      <c r="X74" s="4" t="str">
        <f t="shared" si="14"/>
        <v>Invalid</v>
      </c>
      <c r="Y74" t="s">
        <v>32</v>
      </c>
      <c r="Z74" t="str">
        <f t="shared" si="15"/>
        <v>Valid</v>
      </c>
      <c r="AA74" t="s">
        <v>44</v>
      </c>
      <c r="AB74" t="s">
        <v>45</v>
      </c>
      <c r="AC74" t="str">
        <f t="shared" si="16"/>
        <v>Valid</v>
      </c>
      <c r="AD74" s="4">
        <v>45644</v>
      </c>
      <c r="AE74" s="4" t="str">
        <f t="shared" si="17"/>
        <v>Invalid</v>
      </c>
      <c r="AF74" t="s">
        <v>46</v>
      </c>
    </row>
    <row r="75" spans="1:32" x14ac:dyDescent="0.3">
      <c r="A75" t="s">
        <v>547</v>
      </c>
      <c r="B75" s="4">
        <v>45602</v>
      </c>
      <c r="C75" t="s">
        <v>548</v>
      </c>
      <c r="D75" t="s">
        <v>25</v>
      </c>
      <c r="E75" t="s">
        <v>1303</v>
      </c>
      <c r="F75" t="s">
        <v>38</v>
      </c>
      <c r="G75" t="s">
        <v>549</v>
      </c>
      <c r="H75">
        <v>2799</v>
      </c>
      <c r="I75" t="str">
        <f t="shared" si="9"/>
        <v>Normal</v>
      </c>
      <c r="J75">
        <v>1</v>
      </c>
      <c r="K75" t="str">
        <f t="shared" si="10"/>
        <v>Normal</v>
      </c>
      <c r="L75">
        <v>2799</v>
      </c>
      <c r="M75">
        <f t="shared" si="11"/>
        <v>2799</v>
      </c>
      <c r="N75" t="str">
        <f t="shared" si="12"/>
        <v>Match</v>
      </c>
      <c r="O75" t="s">
        <v>1140</v>
      </c>
      <c r="P75">
        <v>0</v>
      </c>
      <c r="Q75" t="str">
        <f t="shared" si="13"/>
        <v>Invalid</v>
      </c>
      <c r="R75" t="s">
        <v>28</v>
      </c>
      <c r="S75" t="s">
        <v>42</v>
      </c>
      <c r="T75" t="s">
        <v>101</v>
      </c>
      <c r="U75" t="s">
        <v>102</v>
      </c>
      <c r="V75" t="s">
        <v>43</v>
      </c>
      <c r="W75" s="4">
        <v>45616</v>
      </c>
      <c r="X75" s="4" t="str">
        <f t="shared" si="14"/>
        <v>Invalid</v>
      </c>
      <c r="Y75" t="s">
        <v>32</v>
      </c>
      <c r="Z75" t="str">
        <f t="shared" si="15"/>
        <v>Valid</v>
      </c>
      <c r="AA75" t="s">
        <v>44</v>
      </c>
      <c r="AB75" t="s">
        <v>64</v>
      </c>
      <c r="AC75" t="str">
        <f t="shared" si="16"/>
        <v>Valid</v>
      </c>
      <c r="AD75" s="4">
        <v>45644</v>
      </c>
      <c r="AE75" s="4" t="str">
        <f t="shared" si="17"/>
        <v>Invalid</v>
      </c>
      <c r="AF75" t="s">
        <v>46</v>
      </c>
    </row>
    <row r="76" spans="1:32" x14ac:dyDescent="0.3">
      <c r="A76" t="s">
        <v>565</v>
      </c>
      <c r="B76" s="4">
        <v>45604</v>
      </c>
      <c r="C76" t="s">
        <v>566</v>
      </c>
      <c r="D76" t="s">
        <v>37</v>
      </c>
      <c r="E76" t="s">
        <v>1267</v>
      </c>
      <c r="F76" t="s">
        <v>50</v>
      </c>
      <c r="G76" t="s">
        <v>567</v>
      </c>
      <c r="H76">
        <v>1599</v>
      </c>
      <c r="I76" t="str">
        <f t="shared" si="9"/>
        <v>Normal</v>
      </c>
      <c r="J76">
        <v>1</v>
      </c>
      <c r="K76" t="str">
        <f t="shared" si="10"/>
        <v>Normal</v>
      </c>
      <c r="L76">
        <v>1599</v>
      </c>
      <c r="M76">
        <f t="shared" si="11"/>
        <v>1599</v>
      </c>
      <c r="N76" t="str">
        <f t="shared" si="12"/>
        <v>Match</v>
      </c>
      <c r="O76" t="s">
        <v>1140</v>
      </c>
      <c r="P76">
        <v>0</v>
      </c>
      <c r="Q76" t="str">
        <f t="shared" si="13"/>
        <v>Invalid</v>
      </c>
      <c r="R76" t="s">
        <v>41</v>
      </c>
      <c r="S76" t="s">
        <v>42</v>
      </c>
      <c r="T76" t="s">
        <v>126</v>
      </c>
      <c r="U76" t="s">
        <v>127</v>
      </c>
      <c r="V76" t="s">
        <v>43</v>
      </c>
      <c r="W76" s="4">
        <v>45616</v>
      </c>
      <c r="X76" s="4" t="str">
        <f t="shared" si="14"/>
        <v>Invalid</v>
      </c>
      <c r="Y76" t="s">
        <v>32</v>
      </c>
      <c r="Z76" t="str">
        <f t="shared" si="15"/>
        <v>Valid</v>
      </c>
      <c r="AA76" t="s">
        <v>44</v>
      </c>
      <c r="AB76" t="s">
        <v>73</v>
      </c>
      <c r="AC76" t="str">
        <f t="shared" si="16"/>
        <v>Valid</v>
      </c>
      <c r="AD76" s="4">
        <v>45644</v>
      </c>
      <c r="AE76" s="4" t="str">
        <f t="shared" si="17"/>
        <v>Invalid</v>
      </c>
      <c r="AF76" t="s">
        <v>46</v>
      </c>
    </row>
    <row r="77" spans="1:32" x14ac:dyDescent="0.3">
      <c r="A77" t="s">
        <v>559</v>
      </c>
      <c r="B77" s="4">
        <v>45603</v>
      </c>
      <c r="C77" t="s">
        <v>560</v>
      </c>
      <c r="D77" t="s">
        <v>25</v>
      </c>
      <c r="E77" t="s">
        <v>1407</v>
      </c>
      <c r="F77" t="s">
        <v>26</v>
      </c>
      <c r="G77" t="s">
        <v>561</v>
      </c>
      <c r="H77">
        <v>1799</v>
      </c>
      <c r="I77" t="str">
        <f t="shared" si="9"/>
        <v>Normal</v>
      </c>
      <c r="J77">
        <v>1</v>
      </c>
      <c r="K77" t="str">
        <f t="shared" si="10"/>
        <v>Normal</v>
      </c>
      <c r="L77">
        <v>1799</v>
      </c>
      <c r="M77">
        <f t="shared" si="11"/>
        <v>1529.1499999999999</v>
      </c>
      <c r="N77" t="str">
        <f t="shared" si="12"/>
        <v>Mismatch</v>
      </c>
      <c r="O77" s="1">
        <v>42309</v>
      </c>
      <c r="P77">
        <v>15</v>
      </c>
      <c r="Q77" t="str">
        <f t="shared" si="13"/>
        <v>Invalid</v>
      </c>
      <c r="R77" t="s">
        <v>28</v>
      </c>
      <c r="S77" t="s">
        <v>61</v>
      </c>
      <c r="T77" t="s">
        <v>106</v>
      </c>
      <c r="U77" t="s">
        <v>107</v>
      </c>
      <c r="V77" t="s">
        <v>43</v>
      </c>
      <c r="W77" s="4">
        <v>45616</v>
      </c>
      <c r="X77" s="4" t="str">
        <f t="shared" si="14"/>
        <v>Invalid</v>
      </c>
      <c r="Y77" t="s">
        <v>32</v>
      </c>
      <c r="Z77" t="str">
        <f t="shared" si="15"/>
        <v>Valid</v>
      </c>
      <c r="AA77" t="s">
        <v>44</v>
      </c>
      <c r="AB77" t="s">
        <v>94</v>
      </c>
      <c r="AC77" t="str">
        <f t="shared" si="16"/>
        <v>Valid</v>
      </c>
      <c r="AD77" s="4">
        <v>45645</v>
      </c>
      <c r="AE77" s="4" t="str">
        <f t="shared" si="17"/>
        <v>Invalid</v>
      </c>
      <c r="AF77" t="s">
        <v>46</v>
      </c>
    </row>
    <row r="78" spans="1:32" x14ac:dyDescent="0.3">
      <c r="A78" t="s">
        <v>571</v>
      </c>
      <c r="B78" s="4">
        <v>45605</v>
      </c>
      <c r="C78" t="s">
        <v>572</v>
      </c>
      <c r="D78" t="s">
        <v>25</v>
      </c>
      <c r="E78" t="s">
        <v>1173</v>
      </c>
      <c r="F78" t="s">
        <v>66</v>
      </c>
      <c r="G78" t="s">
        <v>573</v>
      </c>
      <c r="H78">
        <v>499</v>
      </c>
      <c r="I78" t="str">
        <f t="shared" si="9"/>
        <v>Normal</v>
      </c>
      <c r="J78">
        <v>3</v>
      </c>
      <c r="K78" t="str">
        <f t="shared" si="10"/>
        <v>Normal</v>
      </c>
      <c r="L78">
        <v>1497</v>
      </c>
      <c r="M78">
        <f t="shared" si="11"/>
        <v>1497</v>
      </c>
      <c r="N78" t="str">
        <f t="shared" si="12"/>
        <v>Match</v>
      </c>
      <c r="O78" t="s">
        <v>1140</v>
      </c>
      <c r="P78">
        <v>0</v>
      </c>
      <c r="Q78" t="str">
        <f t="shared" si="13"/>
        <v>Invalid</v>
      </c>
      <c r="R78" t="s">
        <v>28</v>
      </c>
      <c r="S78" t="s">
        <v>29</v>
      </c>
      <c r="T78" t="s">
        <v>136</v>
      </c>
      <c r="U78" t="s">
        <v>88</v>
      </c>
      <c r="V78" t="s">
        <v>30</v>
      </c>
      <c r="W78" s="4">
        <v>45617</v>
      </c>
      <c r="X78" s="4" t="str">
        <f t="shared" si="14"/>
        <v>Invalid</v>
      </c>
      <c r="Y78" t="s">
        <v>32</v>
      </c>
      <c r="Z78" t="str">
        <f t="shared" si="15"/>
        <v>Valid</v>
      </c>
      <c r="AA78" t="s">
        <v>44</v>
      </c>
      <c r="AB78" t="s">
        <v>122</v>
      </c>
      <c r="AC78" t="str">
        <f t="shared" si="16"/>
        <v>Valid</v>
      </c>
      <c r="AD78" s="4">
        <v>45645</v>
      </c>
      <c r="AE78" s="4" t="str">
        <f t="shared" si="17"/>
        <v>Invalid</v>
      </c>
      <c r="AF78" t="s">
        <v>46</v>
      </c>
    </row>
    <row r="79" spans="1:32" x14ac:dyDescent="0.3">
      <c r="A79" t="s">
        <v>553</v>
      </c>
      <c r="B79" s="4">
        <v>45603</v>
      </c>
      <c r="C79" t="s">
        <v>554</v>
      </c>
      <c r="D79" t="s">
        <v>25</v>
      </c>
      <c r="E79" t="s">
        <v>1375</v>
      </c>
      <c r="F79" t="s">
        <v>57</v>
      </c>
      <c r="G79" t="s">
        <v>555</v>
      </c>
      <c r="H79">
        <v>4599</v>
      </c>
      <c r="I79" t="str">
        <f t="shared" si="9"/>
        <v>Normal</v>
      </c>
      <c r="J79">
        <v>1</v>
      </c>
      <c r="K79" t="str">
        <f t="shared" si="10"/>
        <v>Normal</v>
      </c>
      <c r="L79">
        <v>4599</v>
      </c>
      <c r="M79">
        <f t="shared" si="11"/>
        <v>4599</v>
      </c>
      <c r="N79" t="str">
        <f t="shared" si="12"/>
        <v>Match</v>
      </c>
      <c r="O79" t="s">
        <v>1140</v>
      </c>
      <c r="P79">
        <v>0</v>
      </c>
      <c r="Q79" t="str">
        <f t="shared" si="13"/>
        <v>Invalid</v>
      </c>
      <c r="R79" t="s">
        <v>41</v>
      </c>
      <c r="S79" t="s">
        <v>29</v>
      </c>
      <c r="T79" t="s">
        <v>30</v>
      </c>
      <c r="U79" t="s">
        <v>31</v>
      </c>
      <c r="V79" t="s">
        <v>30</v>
      </c>
      <c r="W79" s="4">
        <v>45617</v>
      </c>
      <c r="X79" s="4" t="str">
        <f t="shared" si="14"/>
        <v>Invalid</v>
      </c>
      <c r="Y79" t="s">
        <v>32</v>
      </c>
      <c r="Z79" t="str">
        <f t="shared" si="15"/>
        <v>Valid</v>
      </c>
      <c r="AA79" t="s">
        <v>44</v>
      </c>
      <c r="AB79" t="s">
        <v>45</v>
      </c>
      <c r="AC79" t="str">
        <f t="shared" si="16"/>
        <v>Valid</v>
      </c>
      <c r="AD79" s="4">
        <v>45646</v>
      </c>
      <c r="AE79" s="4" t="str">
        <f t="shared" si="17"/>
        <v>Invalid</v>
      </c>
      <c r="AF79" t="s">
        <v>46</v>
      </c>
    </row>
    <row r="80" spans="1:32" x14ac:dyDescent="0.3">
      <c r="A80" t="s">
        <v>577</v>
      </c>
      <c r="B80" s="4">
        <v>45605</v>
      </c>
      <c r="C80" t="s">
        <v>578</v>
      </c>
      <c r="D80" t="s">
        <v>25</v>
      </c>
      <c r="E80" t="s">
        <v>1297</v>
      </c>
      <c r="F80" t="s">
        <v>38</v>
      </c>
      <c r="G80" t="s">
        <v>579</v>
      </c>
      <c r="H80">
        <v>2399</v>
      </c>
      <c r="I80" t="str">
        <f t="shared" si="9"/>
        <v>Normal</v>
      </c>
      <c r="J80">
        <v>1</v>
      </c>
      <c r="K80" t="str">
        <f t="shared" si="10"/>
        <v>Normal</v>
      </c>
      <c r="L80">
        <v>2399</v>
      </c>
      <c r="M80">
        <f t="shared" si="11"/>
        <v>2039.1499999999999</v>
      </c>
      <c r="N80" t="str">
        <f t="shared" si="12"/>
        <v>Mismatch</v>
      </c>
      <c r="O80" s="1">
        <v>42309</v>
      </c>
      <c r="P80">
        <v>15</v>
      </c>
      <c r="Q80" t="str">
        <f t="shared" si="13"/>
        <v>Invalid</v>
      </c>
      <c r="R80" t="s">
        <v>41</v>
      </c>
      <c r="S80" t="s">
        <v>61</v>
      </c>
      <c r="T80" t="s">
        <v>145</v>
      </c>
      <c r="U80" t="s">
        <v>132</v>
      </c>
      <c r="V80" t="s">
        <v>30</v>
      </c>
      <c r="W80" s="4">
        <v>45620</v>
      </c>
      <c r="X80" s="4" t="str">
        <f t="shared" si="14"/>
        <v>Invalid</v>
      </c>
      <c r="Y80" t="s">
        <v>32</v>
      </c>
      <c r="Z80" t="str">
        <f t="shared" si="15"/>
        <v>Valid</v>
      </c>
      <c r="AA80" t="s">
        <v>44</v>
      </c>
      <c r="AB80" t="s">
        <v>45</v>
      </c>
      <c r="AC80" t="str">
        <f t="shared" si="16"/>
        <v>Valid</v>
      </c>
      <c r="AD80" s="4">
        <v>45648</v>
      </c>
      <c r="AE80" s="4" t="str">
        <f t="shared" si="17"/>
        <v>Invalid</v>
      </c>
      <c r="AF80" t="s">
        <v>46</v>
      </c>
    </row>
    <row r="81" spans="1:32" x14ac:dyDescent="0.3">
      <c r="A81" t="s">
        <v>589</v>
      </c>
      <c r="B81" s="4">
        <v>45607</v>
      </c>
      <c r="C81" t="s">
        <v>590</v>
      </c>
      <c r="D81" t="s">
        <v>25</v>
      </c>
      <c r="E81" t="s">
        <v>1460</v>
      </c>
      <c r="F81" t="s">
        <v>26</v>
      </c>
      <c r="G81" t="s">
        <v>591</v>
      </c>
      <c r="H81">
        <v>1599</v>
      </c>
      <c r="I81" t="str">
        <f t="shared" si="9"/>
        <v>Normal</v>
      </c>
      <c r="J81">
        <v>1</v>
      </c>
      <c r="K81" t="str">
        <f t="shared" si="10"/>
        <v>Normal</v>
      </c>
      <c r="L81">
        <v>1599</v>
      </c>
      <c r="M81">
        <f t="shared" si="11"/>
        <v>1359.1499999999999</v>
      </c>
      <c r="N81" t="str">
        <f t="shared" si="12"/>
        <v>Mismatch</v>
      </c>
      <c r="O81" s="1">
        <v>42309</v>
      </c>
      <c r="P81">
        <v>15</v>
      </c>
      <c r="Q81" t="str">
        <f t="shared" si="13"/>
        <v>Invalid</v>
      </c>
      <c r="R81" t="s">
        <v>41</v>
      </c>
      <c r="S81" t="s">
        <v>29</v>
      </c>
      <c r="T81" t="s">
        <v>162</v>
      </c>
      <c r="U81" t="s">
        <v>163</v>
      </c>
      <c r="V81" t="s">
        <v>53</v>
      </c>
      <c r="W81" s="4">
        <v>45620</v>
      </c>
      <c r="X81" s="4" t="str">
        <f t="shared" si="14"/>
        <v>Invalid</v>
      </c>
      <c r="Y81" t="s">
        <v>32</v>
      </c>
      <c r="Z81" t="str">
        <f t="shared" si="15"/>
        <v>Valid</v>
      </c>
      <c r="AA81" t="s">
        <v>44</v>
      </c>
      <c r="AB81" t="s">
        <v>45</v>
      </c>
      <c r="AC81" t="str">
        <f t="shared" si="16"/>
        <v>Valid</v>
      </c>
      <c r="AD81" s="4">
        <v>45649</v>
      </c>
      <c r="AE81" s="4" t="str">
        <f t="shared" si="17"/>
        <v>Invalid</v>
      </c>
      <c r="AF81" t="s">
        <v>46</v>
      </c>
    </row>
    <row r="82" spans="1:32" x14ac:dyDescent="0.3">
      <c r="A82" t="s">
        <v>583</v>
      </c>
      <c r="B82" s="4">
        <v>45575</v>
      </c>
      <c r="C82" t="s">
        <v>584</v>
      </c>
      <c r="D82" t="s">
        <v>25</v>
      </c>
      <c r="E82" t="s">
        <v>1396</v>
      </c>
      <c r="F82" t="s">
        <v>57</v>
      </c>
      <c r="G82" t="s">
        <v>585</v>
      </c>
      <c r="H82">
        <v>4199</v>
      </c>
      <c r="I82" t="str">
        <f t="shared" si="9"/>
        <v>Normal</v>
      </c>
      <c r="J82">
        <v>1</v>
      </c>
      <c r="K82" t="str">
        <f t="shared" si="10"/>
        <v>Normal</v>
      </c>
      <c r="L82">
        <v>4199</v>
      </c>
      <c r="M82">
        <f t="shared" si="11"/>
        <v>4199</v>
      </c>
      <c r="N82" t="str">
        <f t="shared" si="12"/>
        <v>Match</v>
      </c>
      <c r="O82" t="s">
        <v>1140</v>
      </c>
      <c r="P82">
        <v>0</v>
      </c>
      <c r="Q82" t="str">
        <f t="shared" si="13"/>
        <v>Invalid</v>
      </c>
      <c r="R82" t="s">
        <v>28</v>
      </c>
      <c r="S82" t="s">
        <v>42</v>
      </c>
      <c r="T82" t="s">
        <v>153</v>
      </c>
      <c r="U82" t="s">
        <v>63</v>
      </c>
      <c r="V82" t="s">
        <v>53</v>
      </c>
      <c r="W82" s="4">
        <v>45621</v>
      </c>
      <c r="X82" s="4" t="str">
        <f t="shared" si="14"/>
        <v>Invalid</v>
      </c>
      <c r="Y82" t="s">
        <v>32</v>
      </c>
      <c r="Z82" t="str">
        <f t="shared" si="15"/>
        <v>Valid</v>
      </c>
      <c r="AA82" t="s">
        <v>44</v>
      </c>
      <c r="AB82" t="s">
        <v>64</v>
      </c>
      <c r="AC82" t="str">
        <f t="shared" si="16"/>
        <v>Valid</v>
      </c>
      <c r="AD82" s="4">
        <v>45650</v>
      </c>
      <c r="AE82" s="4" t="str">
        <f t="shared" si="17"/>
        <v>Invalid</v>
      </c>
      <c r="AF82" t="s">
        <v>46</v>
      </c>
    </row>
    <row r="83" spans="1:32" x14ac:dyDescent="0.3">
      <c r="A83" t="s">
        <v>604</v>
      </c>
      <c r="B83" s="4">
        <v>45608</v>
      </c>
      <c r="C83" t="s">
        <v>605</v>
      </c>
      <c r="D83" t="s">
        <v>25</v>
      </c>
      <c r="E83" t="s">
        <v>1443</v>
      </c>
      <c r="F83" t="s">
        <v>26</v>
      </c>
      <c r="G83" t="s">
        <v>606</v>
      </c>
      <c r="H83">
        <v>1899</v>
      </c>
      <c r="I83" t="str">
        <f t="shared" si="9"/>
        <v>Normal</v>
      </c>
      <c r="J83">
        <v>1</v>
      </c>
      <c r="K83" t="str">
        <f t="shared" si="10"/>
        <v>Normal</v>
      </c>
      <c r="L83">
        <v>1899</v>
      </c>
      <c r="M83">
        <f t="shared" si="11"/>
        <v>1899</v>
      </c>
      <c r="N83" t="str">
        <f t="shared" si="12"/>
        <v>Match</v>
      </c>
      <c r="O83" t="s">
        <v>1140</v>
      </c>
      <c r="P83">
        <v>0</v>
      </c>
      <c r="Q83" t="str">
        <f t="shared" si="13"/>
        <v>Invalid</v>
      </c>
      <c r="R83" t="s">
        <v>60</v>
      </c>
      <c r="S83" t="s">
        <v>61</v>
      </c>
      <c r="T83" t="s">
        <v>183</v>
      </c>
      <c r="U83" t="s">
        <v>102</v>
      </c>
      <c r="V83" t="s">
        <v>43</v>
      </c>
      <c r="W83" s="4">
        <v>45622</v>
      </c>
      <c r="X83" s="4" t="str">
        <f t="shared" si="14"/>
        <v>Invalid</v>
      </c>
      <c r="Y83" t="s">
        <v>32</v>
      </c>
      <c r="Z83" t="str">
        <f t="shared" si="15"/>
        <v>Valid</v>
      </c>
      <c r="AA83" t="s">
        <v>44</v>
      </c>
      <c r="AB83" t="s">
        <v>64</v>
      </c>
      <c r="AC83" t="str">
        <f t="shared" si="16"/>
        <v>Valid</v>
      </c>
      <c r="AD83" s="4">
        <v>45650</v>
      </c>
      <c r="AE83" s="4" t="str">
        <f t="shared" si="17"/>
        <v>Invalid</v>
      </c>
      <c r="AF83" t="s">
        <v>46</v>
      </c>
    </row>
    <row r="84" spans="1:32" x14ac:dyDescent="0.3">
      <c r="A84" t="s">
        <v>592</v>
      </c>
      <c r="B84" s="4">
        <v>45607</v>
      </c>
      <c r="C84" t="s">
        <v>593</v>
      </c>
      <c r="D84" t="s">
        <v>25</v>
      </c>
      <c r="E84" t="s">
        <v>1276</v>
      </c>
      <c r="F84" t="s">
        <v>38</v>
      </c>
      <c r="G84" t="s">
        <v>594</v>
      </c>
      <c r="H84">
        <v>2899</v>
      </c>
      <c r="I84" t="str">
        <f t="shared" si="9"/>
        <v>Normal</v>
      </c>
      <c r="J84">
        <v>1</v>
      </c>
      <c r="K84" t="str">
        <f t="shared" si="10"/>
        <v>Normal</v>
      </c>
      <c r="L84">
        <v>2899</v>
      </c>
      <c r="M84">
        <f t="shared" si="11"/>
        <v>2899</v>
      </c>
      <c r="N84" t="str">
        <f t="shared" si="12"/>
        <v>Match</v>
      </c>
      <c r="O84" t="s">
        <v>1140</v>
      </c>
      <c r="P84">
        <v>0</v>
      </c>
      <c r="Q84" t="str">
        <f t="shared" si="13"/>
        <v>Invalid</v>
      </c>
      <c r="R84" t="s">
        <v>52</v>
      </c>
      <c r="S84" t="s">
        <v>42</v>
      </c>
      <c r="T84" t="s">
        <v>167</v>
      </c>
      <c r="U84" t="s">
        <v>158</v>
      </c>
      <c r="V84" t="s">
        <v>53</v>
      </c>
      <c r="W84" s="4">
        <v>45622</v>
      </c>
      <c r="X84" s="4" t="str">
        <f t="shared" si="14"/>
        <v>Invalid</v>
      </c>
      <c r="Y84" t="s">
        <v>32</v>
      </c>
      <c r="Z84" t="str">
        <f t="shared" si="15"/>
        <v>Valid</v>
      </c>
      <c r="AA84" t="s">
        <v>44</v>
      </c>
      <c r="AB84" t="s">
        <v>94</v>
      </c>
      <c r="AC84" t="str">
        <f t="shared" si="16"/>
        <v>Valid</v>
      </c>
      <c r="AD84" s="4">
        <v>45651</v>
      </c>
      <c r="AE84" s="4" t="str">
        <f t="shared" si="17"/>
        <v>Invalid</v>
      </c>
      <c r="AF84" t="s">
        <v>46</v>
      </c>
    </row>
    <row r="85" spans="1:32" x14ac:dyDescent="0.3">
      <c r="A85" t="s">
        <v>610</v>
      </c>
      <c r="B85" s="4">
        <v>45609</v>
      </c>
      <c r="C85" t="s">
        <v>611</v>
      </c>
      <c r="D85" t="s">
        <v>37</v>
      </c>
      <c r="E85" t="s">
        <v>1270</v>
      </c>
      <c r="F85" t="s">
        <v>50</v>
      </c>
      <c r="G85" t="s">
        <v>612</v>
      </c>
      <c r="H85">
        <v>2499</v>
      </c>
      <c r="I85" t="str">
        <f t="shared" si="9"/>
        <v>Normal</v>
      </c>
      <c r="J85">
        <v>1</v>
      </c>
      <c r="K85" t="str">
        <f t="shared" si="10"/>
        <v>Normal</v>
      </c>
      <c r="L85">
        <v>2499</v>
      </c>
      <c r="M85">
        <f t="shared" si="11"/>
        <v>2124.15</v>
      </c>
      <c r="N85" t="str">
        <f t="shared" si="12"/>
        <v>Mismatch</v>
      </c>
      <c r="O85" s="1">
        <v>42309</v>
      </c>
      <c r="P85">
        <v>15</v>
      </c>
      <c r="Q85" t="str">
        <f t="shared" si="13"/>
        <v>Invalid</v>
      </c>
      <c r="R85" t="s">
        <v>41</v>
      </c>
      <c r="S85" t="s">
        <v>42</v>
      </c>
      <c r="T85" t="s">
        <v>43</v>
      </c>
      <c r="U85" t="s">
        <v>43</v>
      </c>
      <c r="V85" t="s">
        <v>43</v>
      </c>
      <c r="W85" s="4">
        <v>45622</v>
      </c>
      <c r="X85" s="4" t="str">
        <f t="shared" si="14"/>
        <v>Invalid</v>
      </c>
      <c r="Y85" t="s">
        <v>32</v>
      </c>
      <c r="Z85" t="str">
        <f t="shared" si="15"/>
        <v>Valid</v>
      </c>
      <c r="AA85" t="s">
        <v>44</v>
      </c>
      <c r="AB85" t="s">
        <v>45</v>
      </c>
      <c r="AC85" t="str">
        <f t="shared" si="16"/>
        <v>Valid</v>
      </c>
      <c r="AD85" s="4">
        <v>45651</v>
      </c>
      <c r="AE85" s="4" t="str">
        <f t="shared" si="17"/>
        <v>Invalid</v>
      </c>
      <c r="AF85" t="s">
        <v>46</v>
      </c>
    </row>
    <row r="86" spans="1:32" x14ac:dyDescent="0.3">
      <c r="A86" t="s">
        <v>616</v>
      </c>
      <c r="B86" s="4">
        <v>45610</v>
      </c>
      <c r="C86" t="s">
        <v>617</v>
      </c>
      <c r="D86" t="s">
        <v>25</v>
      </c>
      <c r="E86" t="s">
        <v>1207</v>
      </c>
      <c r="F86" t="s">
        <v>66</v>
      </c>
      <c r="G86" t="s">
        <v>618</v>
      </c>
      <c r="H86">
        <v>1599</v>
      </c>
      <c r="I86" t="str">
        <f t="shared" si="9"/>
        <v>Normal</v>
      </c>
      <c r="J86">
        <v>1</v>
      </c>
      <c r="K86" t="str">
        <f t="shared" si="10"/>
        <v>Normal</v>
      </c>
      <c r="L86">
        <v>1599</v>
      </c>
      <c r="M86">
        <f t="shared" si="11"/>
        <v>1599</v>
      </c>
      <c r="N86" t="str">
        <f t="shared" si="12"/>
        <v>Match</v>
      </c>
      <c r="O86" t="s">
        <v>1140</v>
      </c>
      <c r="P86">
        <v>0</v>
      </c>
      <c r="Q86" t="str">
        <f t="shared" si="13"/>
        <v>Invalid</v>
      </c>
      <c r="R86" t="s">
        <v>100</v>
      </c>
      <c r="S86" t="s">
        <v>29</v>
      </c>
      <c r="T86" t="s">
        <v>62</v>
      </c>
      <c r="U86" t="s">
        <v>63</v>
      </c>
      <c r="V86" t="s">
        <v>53</v>
      </c>
      <c r="W86" s="4">
        <v>45623</v>
      </c>
      <c r="X86" s="4" t="str">
        <f t="shared" si="14"/>
        <v>Invalid</v>
      </c>
      <c r="Y86" t="s">
        <v>32</v>
      </c>
      <c r="Z86" t="str">
        <f t="shared" si="15"/>
        <v>Valid</v>
      </c>
      <c r="AA86" t="s">
        <v>44</v>
      </c>
      <c r="AB86" t="s">
        <v>122</v>
      </c>
      <c r="AC86" t="str">
        <f t="shared" si="16"/>
        <v>Valid</v>
      </c>
      <c r="AD86" s="4">
        <v>45652</v>
      </c>
      <c r="AE86" s="4" t="str">
        <f t="shared" si="17"/>
        <v>Invalid</v>
      </c>
      <c r="AF86" t="s">
        <v>46</v>
      </c>
    </row>
    <row r="87" spans="1:32" x14ac:dyDescent="0.3">
      <c r="A87" t="s">
        <v>598</v>
      </c>
      <c r="B87" s="4">
        <v>45608</v>
      </c>
      <c r="C87" t="s">
        <v>599</v>
      </c>
      <c r="D87" t="s">
        <v>25</v>
      </c>
      <c r="E87" t="s">
        <v>1399</v>
      </c>
      <c r="F87" t="s">
        <v>57</v>
      </c>
      <c r="G87" t="s">
        <v>600</v>
      </c>
      <c r="H87">
        <v>5599</v>
      </c>
      <c r="I87" t="str">
        <f t="shared" si="9"/>
        <v>Normal</v>
      </c>
      <c r="J87">
        <v>1</v>
      </c>
      <c r="K87" t="str">
        <f t="shared" si="10"/>
        <v>Normal</v>
      </c>
      <c r="L87">
        <v>5599</v>
      </c>
      <c r="M87">
        <f t="shared" si="11"/>
        <v>5599</v>
      </c>
      <c r="N87" t="str">
        <f t="shared" si="12"/>
        <v>Match</v>
      </c>
      <c r="O87" t="s">
        <v>1140</v>
      </c>
      <c r="P87">
        <v>0</v>
      </c>
      <c r="Q87" t="str">
        <f t="shared" si="13"/>
        <v>Invalid</v>
      </c>
      <c r="R87" t="s">
        <v>41</v>
      </c>
      <c r="S87" t="s">
        <v>29</v>
      </c>
      <c r="T87" t="s">
        <v>175</v>
      </c>
      <c r="U87" t="s">
        <v>88</v>
      </c>
      <c r="V87" t="s">
        <v>30</v>
      </c>
      <c r="W87" s="4">
        <v>45623</v>
      </c>
      <c r="X87" s="4" t="str">
        <f t="shared" si="14"/>
        <v>Invalid</v>
      </c>
      <c r="Y87" t="s">
        <v>32</v>
      </c>
      <c r="Z87" t="str">
        <f t="shared" si="15"/>
        <v>Valid</v>
      </c>
      <c r="AA87" t="s">
        <v>44</v>
      </c>
      <c r="AB87" t="s">
        <v>73</v>
      </c>
      <c r="AC87" t="str">
        <f t="shared" si="16"/>
        <v>Valid</v>
      </c>
      <c r="AD87" s="4">
        <v>45652</v>
      </c>
      <c r="AE87" s="4" t="str">
        <f t="shared" si="17"/>
        <v>Invalid</v>
      </c>
      <c r="AF87" t="s">
        <v>46</v>
      </c>
    </row>
    <row r="88" spans="1:32" x14ac:dyDescent="0.3">
      <c r="A88" t="s">
        <v>631</v>
      </c>
      <c r="B88" s="4">
        <v>45611</v>
      </c>
      <c r="C88" t="s">
        <v>632</v>
      </c>
      <c r="D88" t="s">
        <v>25</v>
      </c>
      <c r="E88" t="s">
        <v>1183</v>
      </c>
      <c r="F88" t="s">
        <v>66</v>
      </c>
      <c r="G88" t="s">
        <v>633</v>
      </c>
      <c r="H88">
        <v>899</v>
      </c>
      <c r="I88" t="str">
        <f t="shared" si="9"/>
        <v>Normal</v>
      </c>
      <c r="J88">
        <v>1</v>
      </c>
      <c r="K88" t="str">
        <f t="shared" si="10"/>
        <v>Normal</v>
      </c>
      <c r="L88">
        <v>899</v>
      </c>
      <c r="M88">
        <f t="shared" si="11"/>
        <v>899</v>
      </c>
      <c r="N88" t="str">
        <f t="shared" si="12"/>
        <v>Match</v>
      </c>
      <c r="O88" t="s">
        <v>1140</v>
      </c>
      <c r="P88">
        <v>0</v>
      </c>
      <c r="Q88" t="str">
        <f t="shared" si="13"/>
        <v>Invalid</v>
      </c>
      <c r="R88" t="s">
        <v>52</v>
      </c>
      <c r="S88" t="s">
        <v>61</v>
      </c>
      <c r="T88" t="s">
        <v>101</v>
      </c>
      <c r="U88" t="s">
        <v>102</v>
      </c>
      <c r="V88" t="s">
        <v>43</v>
      </c>
      <c r="W88" s="4">
        <v>45624</v>
      </c>
      <c r="X88" s="4" t="str">
        <f t="shared" si="14"/>
        <v>Invalid</v>
      </c>
      <c r="Y88" t="s">
        <v>32</v>
      </c>
      <c r="Z88" t="str">
        <f t="shared" si="15"/>
        <v>Valid</v>
      </c>
      <c r="AA88" t="s">
        <v>44</v>
      </c>
      <c r="AB88" t="s">
        <v>73</v>
      </c>
      <c r="AC88" t="str">
        <f t="shared" si="16"/>
        <v>Valid</v>
      </c>
      <c r="AD88" s="4">
        <v>45653</v>
      </c>
      <c r="AE88" s="4" t="str">
        <f t="shared" si="17"/>
        <v>Invalid</v>
      </c>
      <c r="AF88" t="s">
        <v>46</v>
      </c>
    </row>
    <row r="89" spans="1:32" x14ac:dyDescent="0.3">
      <c r="A89" t="s">
        <v>622</v>
      </c>
      <c r="B89" s="4">
        <v>45610</v>
      </c>
      <c r="C89" t="s">
        <v>623</v>
      </c>
      <c r="D89" t="s">
        <v>25</v>
      </c>
      <c r="E89" t="s">
        <v>1290</v>
      </c>
      <c r="F89" t="s">
        <v>38</v>
      </c>
      <c r="G89" t="s">
        <v>624</v>
      </c>
      <c r="H89">
        <v>3199</v>
      </c>
      <c r="I89" t="str">
        <f t="shared" si="9"/>
        <v>Normal</v>
      </c>
      <c r="J89">
        <v>1</v>
      </c>
      <c r="K89" t="str">
        <f t="shared" si="10"/>
        <v>Normal</v>
      </c>
      <c r="L89">
        <v>3199</v>
      </c>
      <c r="M89">
        <f t="shared" si="11"/>
        <v>2719.15</v>
      </c>
      <c r="N89" t="str">
        <f t="shared" si="12"/>
        <v>Mismatch</v>
      </c>
      <c r="O89" s="1">
        <v>42309</v>
      </c>
      <c r="P89">
        <v>15</v>
      </c>
      <c r="Q89" t="str">
        <f t="shared" si="13"/>
        <v>Invalid</v>
      </c>
      <c r="R89" t="s">
        <v>60</v>
      </c>
      <c r="S89" t="s">
        <v>61</v>
      </c>
      <c r="T89" t="s">
        <v>77</v>
      </c>
      <c r="U89" t="s">
        <v>31</v>
      </c>
      <c r="V89" t="s">
        <v>30</v>
      </c>
      <c r="W89" s="4">
        <v>45625</v>
      </c>
      <c r="X89" s="4" t="str">
        <f t="shared" si="14"/>
        <v>Invalid</v>
      </c>
      <c r="Y89" t="s">
        <v>32</v>
      </c>
      <c r="Z89" t="str">
        <f t="shared" si="15"/>
        <v>Valid</v>
      </c>
      <c r="AA89" t="s">
        <v>44</v>
      </c>
      <c r="AB89" t="s">
        <v>45</v>
      </c>
      <c r="AC89" t="str">
        <f t="shared" si="16"/>
        <v>Valid</v>
      </c>
      <c r="AD89" s="4">
        <v>45654</v>
      </c>
      <c r="AE89" s="4" t="str">
        <f t="shared" si="17"/>
        <v>Invalid</v>
      </c>
      <c r="AF89" t="s">
        <v>46</v>
      </c>
    </row>
    <row r="90" spans="1:32" x14ac:dyDescent="0.3">
      <c r="A90" t="s">
        <v>772</v>
      </c>
      <c r="B90" s="4">
        <v>45627</v>
      </c>
      <c r="C90" t="s">
        <v>773</v>
      </c>
      <c r="D90" t="s">
        <v>25</v>
      </c>
      <c r="E90" t="s">
        <v>1354</v>
      </c>
      <c r="F90" t="s">
        <v>57</v>
      </c>
      <c r="G90" t="s">
        <v>774</v>
      </c>
      <c r="H90">
        <v>6499</v>
      </c>
      <c r="I90" t="str">
        <f t="shared" si="9"/>
        <v>Normal</v>
      </c>
      <c r="J90">
        <v>1</v>
      </c>
      <c r="K90" t="str">
        <f t="shared" si="10"/>
        <v>Normal</v>
      </c>
      <c r="L90">
        <v>6499</v>
      </c>
      <c r="M90">
        <f t="shared" si="11"/>
        <v>5199.2000000000007</v>
      </c>
      <c r="N90" t="str">
        <f t="shared" si="12"/>
        <v>Mismatch</v>
      </c>
      <c r="O90" s="1">
        <v>44166</v>
      </c>
      <c r="P90">
        <v>20</v>
      </c>
      <c r="Q90" t="str">
        <f t="shared" si="13"/>
        <v>Invalid</v>
      </c>
      <c r="R90" t="s">
        <v>52</v>
      </c>
      <c r="S90" t="s">
        <v>42</v>
      </c>
      <c r="T90" t="s">
        <v>43</v>
      </c>
      <c r="U90" t="s">
        <v>43</v>
      </c>
      <c r="V90" t="s">
        <v>43</v>
      </c>
      <c r="W90" s="4">
        <v>45634</v>
      </c>
      <c r="X90" s="4" t="str">
        <f t="shared" si="14"/>
        <v>Invalid</v>
      </c>
      <c r="Y90" t="s">
        <v>32</v>
      </c>
      <c r="Z90" t="str">
        <f t="shared" si="15"/>
        <v>Valid</v>
      </c>
      <c r="AA90" t="s">
        <v>44</v>
      </c>
      <c r="AB90" t="s">
        <v>73</v>
      </c>
      <c r="AC90" t="str">
        <f t="shared" si="16"/>
        <v>Valid</v>
      </c>
      <c r="AD90" s="4">
        <v>45654</v>
      </c>
      <c r="AE90" s="4" t="str">
        <f t="shared" si="17"/>
        <v>Invalid</v>
      </c>
      <c r="AF90" t="s">
        <v>95</v>
      </c>
    </row>
    <row r="91" spans="1:32" x14ac:dyDescent="0.3">
      <c r="A91" t="s">
        <v>628</v>
      </c>
      <c r="B91" s="4">
        <v>45611</v>
      </c>
      <c r="C91" t="s">
        <v>629</v>
      </c>
      <c r="D91" t="s">
        <v>25</v>
      </c>
      <c r="E91" t="s">
        <v>1372</v>
      </c>
      <c r="F91" t="s">
        <v>57</v>
      </c>
      <c r="G91" t="s">
        <v>630</v>
      </c>
      <c r="H91">
        <v>6999</v>
      </c>
      <c r="I91" t="str">
        <f t="shared" si="9"/>
        <v>Normal</v>
      </c>
      <c r="J91">
        <v>1</v>
      </c>
      <c r="K91" t="str">
        <f t="shared" si="10"/>
        <v>Normal</v>
      </c>
      <c r="L91">
        <v>6999</v>
      </c>
      <c r="M91">
        <f t="shared" si="11"/>
        <v>6999</v>
      </c>
      <c r="N91" t="str">
        <f t="shared" si="12"/>
        <v>Match</v>
      </c>
      <c r="O91" t="s">
        <v>1140</v>
      </c>
      <c r="P91">
        <v>0</v>
      </c>
      <c r="Q91" t="str">
        <f t="shared" si="13"/>
        <v>Invalid</v>
      </c>
      <c r="R91" t="s">
        <v>28</v>
      </c>
      <c r="S91" t="s">
        <v>42</v>
      </c>
      <c r="T91" t="s">
        <v>92</v>
      </c>
      <c r="U91" t="s">
        <v>93</v>
      </c>
      <c r="V91" t="s">
        <v>43</v>
      </c>
      <c r="W91" s="4">
        <v>45626</v>
      </c>
      <c r="X91" s="4" t="str">
        <f t="shared" si="14"/>
        <v>Invalid</v>
      </c>
      <c r="Y91" t="s">
        <v>32</v>
      </c>
      <c r="Z91" t="str">
        <f t="shared" si="15"/>
        <v>Valid</v>
      </c>
      <c r="AA91" t="s">
        <v>44</v>
      </c>
      <c r="AB91" t="s">
        <v>94</v>
      </c>
      <c r="AC91" t="str">
        <f t="shared" si="16"/>
        <v>Valid</v>
      </c>
      <c r="AD91" s="4">
        <v>45655</v>
      </c>
      <c r="AE91" s="4" t="str">
        <f t="shared" si="17"/>
        <v>Invalid</v>
      </c>
      <c r="AF91" t="s">
        <v>46</v>
      </c>
    </row>
    <row r="92" spans="1:32" x14ac:dyDescent="0.3">
      <c r="A92" t="s">
        <v>649</v>
      </c>
      <c r="B92" s="4">
        <v>45613</v>
      </c>
      <c r="C92" t="s">
        <v>650</v>
      </c>
      <c r="D92" t="s">
        <v>25</v>
      </c>
      <c r="E92" t="s">
        <v>1439</v>
      </c>
      <c r="F92" t="s">
        <v>26</v>
      </c>
      <c r="G92" t="s">
        <v>651</v>
      </c>
      <c r="H92">
        <v>1599</v>
      </c>
      <c r="I92" t="str">
        <f t="shared" si="9"/>
        <v>Normal</v>
      </c>
      <c r="J92">
        <v>1</v>
      </c>
      <c r="K92" t="str">
        <f t="shared" si="10"/>
        <v>Normal</v>
      </c>
      <c r="L92">
        <v>1599</v>
      </c>
      <c r="M92">
        <f t="shared" si="11"/>
        <v>1599</v>
      </c>
      <c r="N92" t="str">
        <f t="shared" si="12"/>
        <v>Match</v>
      </c>
      <c r="O92" t="s">
        <v>1140</v>
      </c>
      <c r="P92">
        <v>0</v>
      </c>
      <c r="Q92" t="str">
        <f t="shared" si="13"/>
        <v>Invalid</v>
      </c>
      <c r="R92" t="s">
        <v>41</v>
      </c>
      <c r="S92" t="s">
        <v>61</v>
      </c>
      <c r="T92" t="s">
        <v>126</v>
      </c>
      <c r="U92" t="s">
        <v>127</v>
      </c>
      <c r="V92" t="s">
        <v>43</v>
      </c>
      <c r="W92" s="4">
        <v>45627</v>
      </c>
      <c r="X92" s="4" t="str">
        <f t="shared" si="14"/>
        <v>Invalid</v>
      </c>
      <c r="Y92" t="s">
        <v>32</v>
      </c>
      <c r="Z92" t="str">
        <f t="shared" si="15"/>
        <v>Valid</v>
      </c>
      <c r="AA92" t="s">
        <v>44</v>
      </c>
      <c r="AB92" t="s">
        <v>122</v>
      </c>
      <c r="AC92" t="str">
        <f t="shared" si="16"/>
        <v>Valid</v>
      </c>
      <c r="AD92" s="4">
        <v>45655</v>
      </c>
      <c r="AE92" s="4" t="str">
        <f t="shared" si="17"/>
        <v>Invalid</v>
      </c>
      <c r="AF92" t="s">
        <v>46</v>
      </c>
    </row>
    <row r="93" spans="1:32" x14ac:dyDescent="0.3">
      <c r="A93" t="s">
        <v>778</v>
      </c>
      <c r="B93" s="4">
        <v>45627</v>
      </c>
      <c r="C93" t="s">
        <v>779</v>
      </c>
      <c r="D93" t="s">
        <v>25</v>
      </c>
      <c r="E93" t="s">
        <v>1315</v>
      </c>
      <c r="F93" t="s">
        <v>38</v>
      </c>
      <c r="G93" t="s">
        <v>780</v>
      </c>
      <c r="H93">
        <v>2899</v>
      </c>
      <c r="I93" t="str">
        <f t="shared" si="9"/>
        <v>Normal</v>
      </c>
      <c r="J93">
        <v>1</v>
      </c>
      <c r="K93" t="str">
        <f t="shared" si="10"/>
        <v>Normal</v>
      </c>
      <c r="L93">
        <v>2899</v>
      </c>
      <c r="M93">
        <f t="shared" si="11"/>
        <v>2319.2000000000003</v>
      </c>
      <c r="N93" t="str">
        <f t="shared" si="12"/>
        <v>Mismatch</v>
      </c>
      <c r="O93" s="1">
        <v>44166</v>
      </c>
      <c r="P93">
        <v>20</v>
      </c>
      <c r="Q93" t="str">
        <f t="shared" si="13"/>
        <v>Invalid</v>
      </c>
      <c r="R93" t="s">
        <v>60</v>
      </c>
      <c r="S93" t="s">
        <v>29</v>
      </c>
      <c r="T93" t="s">
        <v>446</v>
      </c>
      <c r="U93" t="s">
        <v>107</v>
      </c>
      <c r="V93" t="s">
        <v>43</v>
      </c>
      <c r="W93" s="4">
        <v>45635</v>
      </c>
      <c r="X93" s="4" t="str">
        <f t="shared" si="14"/>
        <v>Invalid</v>
      </c>
      <c r="Y93" t="s">
        <v>32</v>
      </c>
      <c r="Z93" t="str">
        <f t="shared" si="15"/>
        <v>Valid</v>
      </c>
      <c r="AA93" t="s">
        <v>44</v>
      </c>
      <c r="AB93" t="s">
        <v>45</v>
      </c>
      <c r="AC93" t="str">
        <f t="shared" si="16"/>
        <v>Valid</v>
      </c>
      <c r="AD93" s="4">
        <v>45656</v>
      </c>
      <c r="AE93" s="4" t="str">
        <f t="shared" si="17"/>
        <v>Invalid</v>
      </c>
      <c r="AF93" t="s">
        <v>46</v>
      </c>
    </row>
    <row r="94" spans="1:32" x14ac:dyDescent="0.3">
      <c r="A94" t="s">
        <v>655</v>
      </c>
      <c r="B94" s="4">
        <v>45614</v>
      </c>
      <c r="C94" t="s">
        <v>656</v>
      </c>
      <c r="D94" t="s">
        <v>37</v>
      </c>
      <c r="E94" t="s">
        <v>1233</v>
      </c>
      <c r="F94" t="s">
        <v>50</v>
      </c>
      <c r="G94" t="s">
        <v>657</v>
      </c>
      <c r="H94">
        <v>2299</v>
      </c>
      <c r="I94" t="str">
        <f t="shared" si="9"/>
        <v>Normal</v>
      </c>
      <c r="J94">
        <v>1</v>
      </c>
      <c r="K94" t="str">
        <f t="shared" si="10"/>
        <v>Normal</v>
      </c>
      <c r="L94">
        <v>2299</v>
      </c>
      <c r="M94">
        <f t="shared" si="11"/>
        <v>2299</v>
      </c>
      <c r="N94" t="str">
        <f t="shared" si="12"/>
        <v>Match</v>
      </c>
      <c r="O94" t="s">
        <v>1140</v>
      </c>
      <c r="P94">
        <v>0</v>
      </c>
      <c r="Q94" t="str">
        <f t="shared" si="13"/>
        <v>Invalid</v>
      </c>
      <c r="R94" t="s">
        <v>28</v>
      </c>
      <c r="S94" t="s">
        <v>42</v>
      </c>
      <c r="T94" t="s">
        <v>136</v>
      </c>
      <c r="U94" t="s">
        <v>88</v>
      </c>
      <c r="V94" t="s">
        <v>30</v>
      </c>
      <c r="W94" s="4">
        <v>45627</v>
      </c>
      <c r="X94" s="4" t="str">
        <f t="shared" si="14"/>
        <v>Invalid</v>
      </c>
      <c r="Y94" t="s">
        <v>32</v>
      </c>
      <c r="Z94" t="str">
        <f t="shared" si="15"/>
        <v>Valid</v>
      </c>
      <c r="AA94" t="s">
        <v>44</v>
      </c>
      <c r="AB94" t="s">
        <v>45</v>
      </c>
      <c r="AC94" t="str">
        <f t="shared" si="16"/>
        <v>Valid</v>
      </c>
      <c r="AD94" s="4">
        <v>45656</v>
      </c>
      <c r="AE94" s="4" t="str">
        <f t="shared" si="17"/>
        <v>Invalid</v>
      </c>
      <c r="AF94" t="s">
        <v>46</v>
      </c>
    </row>
    <row r="95" spans="1:32" x14ac:dyDescent="0.3">
      <c r="A95" t="s">
        <v>637</v>
      </c>
      <c r="B95" s="4">
        <v>45612</v>
      </c>
      <c r="C95" t="s">
        <v>638</v>
      </c>
      <c r="D95" t="s">
        <v>25</v>
      </c>
      <c r="E95" t="s">
        <v>1336</v>
      </c>
      <c r="F95" t="s">
        <v>38</v>
      </c>
      <c r="G95" t="s">
        <v>639</v>
      </c>
      <c r="H95">
        <v>2999</v>
      </c>
      <c r="I95" t="str">
        <f t="shared" si="9"/>
        <v>Normal</v>
      </c>
      <c r="J95">
        <v>1</v>
      </c>
      <c r="K95" t="str">
        <f t="shared" si="10"/>
        <v>Normal</v>
      </c>
      <c r="L95">
        <v>2999</v>
      </c>
      <c r="M95">
        <f t="shared" si="11"/>
        <v>2999</v>
      </c>
      <c r="N95" t="str">
        <f t="shared" si="12"/>
        <v>Match</v>
      </c>
      <c r="O95" t="s">
        <v>1140</v>
      </c>
      <c r="P95">
        <v>0</v>
      </c>
      <c r="Q95" t="str">
        <f t="shared" si="13"/>
        <v>Invalid</v>
      </c>
      <c r="R95" t="s">
        <v>60</v>
      </c>
      <c r="S95" t="s">
        <v>42</v>
      </c>
      <c r="T95" t="s">
        <v>30</v>
      </c>
      <c r="U95" t="s">
        <v>31</v>
      </c>
      <c r="V95" t="s">
        <v>30</v>
      </c>
      <c r="W95" s="4">
        <v>45627</v>
      </c>
      <c r="X95" s="4" t="str">
        <f t="shared" si="14"/>
        <v>Invalid</v>
      </c>
      <c r="Y95" t="s">
        <v>32</v>
      </c>
      <c r="Z95" t="str">
        <f t="shared" si="15"/>
        <v>Valid</v>
      </c>
      <c r="AA95" t="s">
        <v>44</v>
      </c>
      <c r="AB95" t="s">
        <v>64</v>
      </c>
      <c r="AC95" t="str">
        <f t="shared" si="16"/>
        <v>Valid</v>
      </c>
      <c r="AD95" s="4">
        <v>45656</v>
      </c>
      <c r="AE95" s="4" t="str">
        <f t="shared" si="17"/>
        <v>Invalid</v>
      </c>
      <c r="AF95" t="s">
        <v>46</v>
      </c>
    </row>
    <row r="96" spans="1:32" x14ac:dyDescent="0.3">
      <c r="A96" t="s">
        <v>643</v>
      </c>
      <c r="B96" s="4">
        <v>45613</v>
      </c>
      <c r="C96" t="s">
        <v>644</v>
      </c>
      <c r="D96" t="s">
        <v>25</v>
      </c>
      <c r="E96" t="s">
        <v>1353</v>
      </c>
      <c r="F96" t="s">
        <v>57</v>
      </c>
      <c r="G96" t="s">
        <v>645</v>
      </c>
      <c r="H96">
        <v>7499</v>
      </c>
      <c r="I96" t="str">
        <f t="shared" si="9"/>
        <v>Normal</v>
      </c>
      <c r="J96">
        <v>1</v>
      </c>
      <c r="K96" t="str">
        <f t="shared" si="10"/>
        <v>Normal</v>
      </c>
      <c r="L96">
        <v>7499</v>
      </c>
      <c r="M96">
        <f t="shared" si="11"/>
        <v>7499</v>
      </c>
      <c r="N96" t="str">
        <f t="shared" si="12"/>
        <v>Match</v>
      </c>
      <c r="O96" t="s">
        <v>1140</v>
      </c>
      <c r="P96">
        <v>0</v>
      </c>
      <c r="Q96" t="str">
        <f t="shared" si="13"/>
        <v>Invalid</v>
      </c>
      <c r="R96" t="s">
        <v>28</v>
      </c>
      <c r="S96" t="s">
        <v>29</v>
      </c>
      <c r="T96" t="s">
        <v>106</v>
      </c>
      <c r="U96" t="s">
        <v>107</v>
      </c>
      <c r="V96" t="s">
        <v>43</v>
      </c>
      <c r="W96" s="4">
        <v>45628</v>
      </c>
      <c r="X96" s="4" t="str">
        <f t="shared" si="14"/>
        <v>Invalid</v>
      </c>
      <c r="Y96" t="s">
        <v>32</v>
      </c>
      <c r="Z96" t="str">
        <f t="shared" si="15"/>
        <v>Valid</v>
      </c>
      <c r="AA96" t="s">
        <v>44</v>
      </c>
      <c r="AB96" t="s">
        <v>45</v>
      </c>
      <c r="AC96" t="str">
        <f t="shared" si="16"/>
        <v>Valid</v>
      </c>
      <c r="AD96" s="4">
        <v>45657</v>
      </c>
      <c r="AE96" s="4" t="str">
        <f t="shared" si="17"/>
        <v>Invalid</v>
      </c>
      <c r="AF96" t="s">
        <v>46</v>
      </c>
    </row>
    <row r="97" spans="1:32" x14ac:dyDescent="0.3">
      <c r="A97" t="s">
        <v>658</v>
      </c>
      <c r="B97" s="4">
        <v>45614</v>
      </c>
      <c r="C97" t="s">
        <v>659</v>
      </c>
      <c r="D97" t="s">
        <v>25</v>
      </c>
      <c r="E97" t="s">
        <v>1368</v>
      </c>
      <c r="F97" t="s">
        <v>57</v>
      </c>
      <c r="G97" t="s">
        <v>660</v>
      </c>
      <c r="H97">
        <v>5999</v>
      </c>
      <c r="I97" t="str">
        <f t="shared" si="9"/>
        <v>Normal</v>
      </c>
      <c r="J97">
        <v>1</v>
      </c>
      <c r="K97" t="str">
        <f t="shared" si="10"/>
        <v>Normal</v>
      </c>
      <c r="L97">
        <v>5999</v>
      </c>
      <c r="M97">
        <f t="shared" si="11"/>
        <v>5099.1499999999996</v>
      </c>
      <c r="N97" t="str">
        <f t="shared" si="12"/>
        <v>Mismatch</v>
      </c>
      <c r="O97" s="1">
        <v>42309</v>
      </c>
      <c r="P97">
        <v>15</v>
      </c>
      <c r="Q97" t="str">
        <f t="shared" si="13"/>
        <v>Invalid</v>
      </c>
      <c r="R97" t="s">
        <v>60</v>
      </c>
      <c r="S97" t="s">
        <v>61</v>
      </c>
      <c r="T97" t="s">
        <v>140</v>
      </c>
      <c r="U97" t="s">
        <v>141</v>
      </c>
      <c r="V97" t="s">
        <v>43</v>
      </c>
      <c r="W97" s="4">
        <v>45630</v>
      </c>
      <c r="X97" s="4" t="str">
        <f t="shared" si="14"/>
        <v>Invalid</v>
      </c>
      <c r="Y97" t="s">
        <v>32</v>
      </c>
      <c r="Z97" t="str">
        <f t="shared" si="15"/>
        <v>Valid</v>
      </c>
      <c r="AA97" t="s">
        <v>44</v>
      </c>
      <c r="AB97" t="s">
        <v>94</v>
      </c>
      <c r="AC97" t="str">
        <f t="shared" si="16"/>
        <v>Valid</v>
      </c>
      <c r="AD97" s="4">
        <v>45659</v>
      </c>
      <c r="AE97" s="4" t="str">
        <f t="shared" si="17"/>
        <v>Invalid</v>
      </c>
      <c r="AF97" t="s">
        <v>46</v>
      </c>
    </row>
    <row r="98" spans="1:32" x14ac:dyDescent="0.3">
      <c r="A98" t="s">
        <v>791</v>
      </c>
      <c r="B98" s="4">
        <v>45628</v>
      </c>
      <c r="C98" t="s">
        <v>792</v>
      </c>
      <c r="D98" t="s">
        <v>25</v>
      </c>
      <c r="E98" t="s">
        <v>1402</v>
      </c>
      <c r="F98" t="s">
        <v>57</v>
      </c>
      <c r="G98" t="s">
        <v>356</v>
      </c>
      <c r="H98">
        <v>3299</v>
      </c>
      <c r="I98" t="str">
        <f t="shared" si="9"/>
        <v>Normal</v>
      </c>
      <c r="J98">
        <v>1</v>
      </c>
      <c r="K98" t="str">
        <f t="shared" si="10"/>
        <v>Normal</v>
      </c>
      <c r="L98">
        <v>3299</v>
      </c>
      <c r="M98">
        <f t="shared" si="11"/>
        <v>3299</v>
      </c>
      <c r="N98" t="str">
        <f t="shared" si="12"/>
        <v>Match</v>
      </c>
      <c r="O98" t="s">
        <v>1140</v>
      </c>
      <c r="P98">
        <v>0</v>
      </c>
      <c r="Q98" t="str">
        <f t="shared" si="13"/>
        <v>Invalid</v>
      </c>
      <c r="R98" t="s">
        <v>28</v>
      </c>
      <c r="S98" t="s">
        <v>29</v>
      </c>
      <c r="T98" t="s">
        <v>793</v>
      </c>
      <c r="U98" t="s">
        <v>794</v>
      </c>
      <c r="V98" t="s">
        <v>43</v>
      </c>
      <c r="W98" s="4">
        <v>45637</v>
      </c>
      <c r="X98" s="4" t="str">
        <f t="shared" si="14"/>
        <v>Invalid</v>
      </c>
      <c r="Y98" t="s">
        <v>32</v>
      </c>
      <c r="Z98" t="str">
        <f t="shared" si="15"/>
        <v>Valid</v>
      </c>
      <c r="AA98" t="s">
        <v>44</v>
      </c>
      <c r="AB98" t="s">
        <v>94</v>
      </c>
      <c r="AC98" t="str">
        <f t="shared" si="16"/>
        <v>Valid</v>
      </c>
      <c r="AD98" s="4">
        <v>45659</v>
      </c>
      <c r="AE98" s="4" t="str">
        <f t="shared" si="17"/>
        <v>Invalid</v>
      </c>
      <c r="AF98" t="s">
        <v>95</v>
      </c>
    </row>
    <row r="99" spans="1:32" x14ac:dyDescent="0.3">
      <c r="A99" t="s">
        <v>799</v>
      </c>
      <c r="B99" s="4">
        <v>45629</v>
      </c>
      <c r="C99" t="s">
        <v>800</v>
      </c>
      <c r="D99" t="s">
        <v>25</v>
      </c>
      <c r="E99" t="s">
        <v>1466</v>
      </c>
      <c r="F99" t="s">
        <v>26</v>
      </c>
      <c r="G99" t="s">
        <v>801</v>
      </c>
      <c r="H99">
        <v>2199</v>
      </c>
      <c r="I99" t="str">
        <f t="shared" si="9"/>
        <v>Normal</v>
      </c>
      <c r="J99">
        <v>1</v>
      </c>
      <c r="K99" t="str">
        <f t="shared" si="10"/>
        <v>Normal</v>
      </c>
      <c r="L99">
        <v>2199</v>
      </c>
      <c r="M99">
        <f t="shared" si="11"/>
        <v>2199</v>
      </c>
      <c r="N99" t="str">
        <f t="shared" si="12"/>
        <v>Match</v>
      </c>
      <c r="O99" t="s">
        <v>1140</v>
      </c>
      <c r="P99">
        <v>0</v>
      </c>
      <c r="Q99" t="str">
        <f t="shared" si="13"/>
        <v>Invalid</v>
      </c>
      <c r="R99" t="s">
        <v>60</v>
      </c>
      <c r="S99" t="s">
        <v>61</v>
      </c>
      <c r="T99" t="s">
        <v>802</v>
      </c>
      <c r="U99" t="s">
        <v>83</v>
      </c>
      <c r="V99" t="s">
        <v>43</v>
      </c>
      <c r="W99" s="4">
        <v>45638</v>
      </c>
      <c r="X99" s="4" t="str">
        <f t="shared" si="14"/>
        <v>Invalid</v>
      </c>
      <c r="Y99" t="s">
        <v>32</v>
      </c>
      <c r="Z99" t="str">
        <f t="shared" si="15"/>
        <v>Valid</v>
      </c>
      <c r="AA99" t="s">
        <v>44</v>
      </c>
      <c r="AB99" t="s">
        <v>45</v>
      </c>
      <c r="AC99" t="str">
        <f t="shared" si="16"/>
        <v>Valid</v>
      </c>
      <c r="AD99" s="4">
        <v>45660</v>
      </c>
      <c r="AE99" s="4" t="str">
        <f t="shared" si="17"/>
        <v>Invalid</v>
      </c>
      <c r="AF99" t="s">
        <v>46</v>
      </c>
    </row>
    <row r="100" spans="1:32" x14ac:dyDescent="0.3">
      <c r="A100" t="s">
        <v>679</v>
      </c>
      <c r="B100" s="4">
        <v>45617</v>
      </c>
      <c r="C100" t="s">
        <v>680</v>
      </c>
      <c r="D100" t="s">
        <v>25</v>
      </c>
      <c r="E100" t="s">
        <v>1446</v>
      </c>
      <c r="F100" t="s">
        <v>26</v>
      </c>
      <c r="G100" t="s">
        <v>681</v>
      </c>
      <c r="H100">
        <v>1999</v>
      </c>
      <c r="I100" t="str">
        <f t="shared" si="9"/>
        <v>Normal</v>
      </c>
      <c r="J100">
        <v>1</v>
      </c>
      <c r="K100" t="str">
        <f t="shared" si="10"/>
        <v>Normal</v>
      </c>
      <c r="L100">
        <v>1999</v>
      </c>
      <c r="M100">
        <f t="shared" si="11"/>
        <v>1999</v>
      </c>
      <c r="N100" t="str">
        <f t="shared" si="12"/>
        <v>Match</v>
      </c>
      <c r="O100" t="s">
        <v>1140</v>
      </c>
      <c r="P100">
        <v>0</v>
      </c>
      <c r="Q100" t="str">
        <f t="shared" si="13"/>
        <v>Invalid</v>
      </c>
      <c r="R100" t="s">
        <v>28</v>
      </c>
      <c r="S100" t="s">
        <v>29</v>
      </c>
      <c r="T100" t="s">
        <v>171</v>
      </c>
      <c r="U100" t="s">
        <v>54</v>
      </c>
      <c r="V100" t="s">
        <v>53</v>
      </c>
      <c r="W100" s="4">
        <v>45631</v>
      </c>
      <c r="X100" s="4" t="str">
        <f t="shared" si="14"/>
        <v>Invalid</v>
      </c>
      <c r="Y100" t="s">
        <v>32</v>
      </c>
      <c r="Z100" t="str">
        <f t="shared" si="15"/>
        <v>Valid</v>
      </c>
      <c r="AA100" t="s">
        <v>44</v>
      </c>
      <c r="AB100" t="s">
        <v>45</v>
      </c>
      <c r="AC100" t="str">
        <f t="shared" si="16"/>
        <v>Valid</v>
      </c>
      <c r="AD100" s="4">
        <v>45660</v>
      </c>
      <c r="AE100" s="4" t="str">
        <f t="shared" si="17"/>
        <v>Invalid</v>
      </c>
      <c r="AF100" t="s">
        <v>46</v>
      </c>
    </row>
    <row r="101" spans="1:32" x14ac:dyDescent="0.3">
      <c r="A101" t="s">
        <v>667</v>
      </c>
      <c r="B101" s="4">
        <v>45615</v>
      </c>
      <c r="C101" t="s">
        <v>668</v>
      </c>
      <c r="D101" t="s">
        <v>25</v>
      </c>
      <c r="E101" t="s">
        <v>1337</v>
      </c>
      <c r="F101" t="s">
        <v>38</v>
      </c>
      <c r="G101" t="s">
        <v>669</v>
      </c>
      <c r="H101">
        <v>2999</v>
      </c>
      <c r="I101" t="str">
        <f t="shared" si="9"/>
        <v>Normal</v>
      </c>
      <c r="J101">
        <v>1</v>
      </c>
      <c r="K101" t="str">
        <f t="shared" si="10"/>
        <v>Normal</v>
      </c>
      <c r="L101">
        <v>2999</v>
      </c>
      <c r="M101">
        <f t="shared" si="11"/>
        <v>2999</v>
      </c>
      <c r="N101" t="str">
        <f t="shared" si="12"/>
        <v>Match</v>
      </c>
      <c r="O101" t="s">
        <v>1140</v>
      </c>
      <c r="P101">
        <v>0</v>
      </c>
      <c r="Q101" t="str">
        <f t="shared" si="13"/>
        <v>Invalid</v>
      </c>
      <c r="R101" t="s">
        <v>28</v>
      </c>
      <c r="S101" t="s">
        <v>61</v>
      </c>
      <c r="T101" t="s">
        <v>153</v>
      </c>
      <c r="U101" t="s">
        <v>63</v>
      </c>
      <c r="V101" t="s">
        <v>53</v>
      </c>
      <c r="W101" s="4">
        <v>45631</v>
      </c>
      <c r="X101" s="4" t="str">
        <f t="shared" si="14"/>
        <v>Invalid</v>
      </c>
      <c r="Y101" t="s">
        <v>32</v>
      </c>
      <c r="Z101" t="str">
        <f t="shared" si="15"/>
        <v>Valid</v>
      </c>
      <c r="AA101" t="s">
        <v>44</v>
      </c>
      <c r="AB101" t="s">
        <v>73</v>
      </c>
      <c r="AC101" t="str">
        <f t="shared" si="16"/>
        <v>Valid</v>
      </c>
      <c r="AD101" s="4">
        <v>45660</v>
      </c>
      <c r="AE101" s="4" t="str">
        <f t="shared" si="17"/>
        <v>Invalid</v>
      </c>
      <c r="AF101" t="s">
        <v>46</v>
      </c>
    </row>
    <row r="102" spans="1:32" x14ac:dyDescent="0.3">
      <c r="A102" t="s">
        <v>700</v>
      </c>
      <c r="B102" s="4">
        <v>45619</v>
      </c>
      <c r="C102" t="s">
        <v>701</v>
      </c>
      <c r="D102" t="s">
        <v>37</v>
      </c>
      <c r="E102" t="s">
        <v>1249</v>
      </c>
      <c r="F102" t="s">
        <v>50</v>
      </c>
      <c r="G102" t="s">
        <v>702</v>
      </c>
      <c r="H102">
        <v>2399</v>
      </c>
      <c r="I102" t="str">
        <f t="shared" si="9"/>
        <v>Normal</v>
      </c>
      <c r="J102">
        <v>1</v>
      </c>
      <c r="K102" t="str">
        <f t="shared" si="10"/>
        <v>Normal</v>
      </c>
      <c r="L102">
        <v>2399</v>
      </c>
      <c r="M102">
        <f t="shared" si="11"/>
        <v>2399</v>
      </c>
      <c r="N102" t="str">
        <f t="shared" si="12"/>
        <v>Match</v>
      </c>
      <c r="O102" t="s">
        <v>1140</v>
      </c>
      <c r="P102">
        <v>0</v>
      </c>
      <c r="Q102" t="str">
        <f t="shared" si="13"/>
        <v>Invalid</v>
      </c>
      <c r="R102" t="s">
        <v>52</v>
      </c>
      <c r="S102" t="s">
        <v>42</v>
      </c>
      <c r="T102" t="s">
        <v>62</v>
      </c>
      <c r="U102" t="s">
        <v>63</v>
      </c>
      <c r="V102" t="s">
        <v>53</v>
      </c>
      <c r="W102" s="4">
        <v>45633</v>
      </c>
      <c r="X102" s="4" t="str">
        <f t="shared" si="14"/>
        <v>Invalid</v>
      </c>
      <c r="Y102" t="s">
        <v>32</v>
      </c>
      <c r="Z102" t="str">
        <f t="shared" si="15"/>
        <v>Valid</v>
      </c>
      <c r="AA102" t="s">
        <v>44</v>
      </c>
      <c r="AB102" t="s">
        <v>64</v>
      </c>
      <c r="AC102" t="str">
        <f t="shared" si="16"/>
        <v>Valid</v>
      </c>
      <c r="AD102" s="4">
        <v>45661</v>
      </c>
      <c r="AE102" s="4" t="str">
        <f t="shared" si="17"/>
        <v>Invalid</v>
      </c>
      <c r="AF102" t="s">
        <v>46</v>
      </c>
    </row>
    <row r="103" spans="1:32" x14ac:dyDescent="0.3">
      <c r="A103" t="s">
        <v>673</v>
      </c>
      <c r="B103" s="4">
        <v>45616</v>
      </c>
      <c r="C103" t="s">
        <v>674</v>
      </c>
      <c r="D103" t="s">
        <v>25</v>
      </c>
      <c r="E103" t="s">
        <v>1391</v>
      </c>
      <c r="F103" t="s">
        <v>57</v>
      </c>
      <c r="G103" t="s">
        <v>675</v>
      </c>
      <c r="H103">
        <v>4899</v>
      </c>
      <c r="I103" t="str">
        <f t="shared" si="9"/>
        <v>Normal</v>
      </c>
      <c r="J103">
        <v>1</v>
      </c>
      <c r="K103" t="str">
        <f t="shared" si="10"/>
        <v>Normal</v>
      </c>
      <c r="L103">
        <v>4899</v>
      </c>
      <c r="M103">
        <f t="shared" si="11"/>
        <v>4899</v>
      </c>
      <c r="N103" t="str">
        <f t="shared" si="12"/>
        <v>Match</v>
      </c>
      <c r="O103" t="s">
        <v>1140</v>
      </c>
      <c r="P103">
        <v>0</v>
      </c>
      <c r="Q103" t="str">
        <f t="shared" si="13"/>
        <v>Invalid</v>
      </c>
      <c r="R103" t="s">
        <v>60</v>
      </c>
      <c r="S103" t="s">
        <v>42</v>
      </c>
      <c r="T103" t="s">
        <v>162</v>
      </c>
      <c r="U103" t="s">
        <v>163</v>
      </c>
      <c r="V103" t="s">
        <v>53</v>
      </c>
      <c r="W103" s="4">
        <v>45632</v>
      </c>
      <c r="X103" s="4" t="str">
        <f t="shared" si="14"/>
        <v>Invalid</v>
      </c>
      <c r="Y103" t="s">
        <v>32</v>
      </c>
      <c r="Z103" t="str">
        <f t="shared" si="15"/>
        <v>Valid</v>
      </c>
      <c r="AA103" t="s">
        <v>44</v>
      </c>
      <c r="AB103" t="s">
        <v>64</v>
      </c>
      <c r="AC103" t="str">
        <f t="shared" si="16"/>
        <v>Valid</v>
      </c>
      <c r="AD103" s="4">
        <v>45661</v>
      </c>
      <c r="AE103" s="4" t="str">
        <f t="shared" si="17"/>
        <v>Invalid</v>
      </c>
      <c r="AF103" t="s">
        <v>46</v>
      </c>
    </row>
    <row r="104" spans="1:32" x14ac:dyDescent="0.3">
      <c r="A104" t="s">
        <v>682</v>
      </c>
      <c r="B104" s="4">
        <v>45617</v>
      </c>
      <c r="C104" t="s">
        <v>683</v>
      </c>
      <c r="D104" t="s">
        <v>25</v>
      </c>
      <c r="E104" t="s">
        <v>1300</v>
      </c>
      <c r="F104" t="s">
        <v>38</v>
      </c>
      <c r="G104" t="s">
        <v>684</v>
      </c>
      <c r="H104">
        <v>3499</v>
      </c>
      <c r="I104" t="str">
        <f t="shared" si="9"/>
        <v>Normal</v>
      </c>
      <c r="J104">
        <v>1</v>
      </c>
      <c r="K104" t="str">
        <f t="shared" si="10"/>
        <v>Normal</v>
      </c>
      <c r="L104">
        <v>3499</v>
      </c>
      <c r="M104">
        <f t="shared" si="11"/>
        <v>2974.15</v>
      </c>
      <c r="N104" t="str">
        <f t="shared" si="12"/>
        <v>Mismatch</v>
      </c>
      <c r="O104" s="1">
        <v>42309</v>
      </c>
      <c r="P104">
        <v>15</v>
      </c>
      <c r="Q104" t="str">
        <f t="shared" si="13"/>
        <v>Invalid</v>
      </c>
      <c r="R104" t="s">
        <v>52</v>
      </c>
      <c r="S104" t="s">
        <v>42</v>
      </c>
      <c r="T104" t="s">
        <v>175</v>
      </c>
      <c r="U104" t="s">
        <v>88</v>
      </c>
      <c r="V104" t="s">
        <v>30</v>
      </c>
      <c r="W104" s="4">
        <v>45633</v>
      </c>
      <c r="X104" s="4" t="str">
        <f t="shared" si="14"/>
        <v>Invalid</v>
      </c>
      <c r="Y104" t="s">
        <v>32</v>
      </c>
      <c r="Z104" t="str">
        <f t="shared" si="15"/>
        <v>Valid</v>
      </c>
      <c r="AA104" t="s">
        <v>44</v>
      </c>
      <c r="AB104" t="s">
        <v>94</v>
      </c>
      <c r="AC104" t="str">
        <f t="shared" si="16"/>
        <v>Valid</v>
      </c>
      <c r="AD104" s="4">
        <v>45662</v>
      </c>
      <c r="AE104" s="4" t="str">
        <f t="shared" si="17"/>
        <v>Invalid</v>
      </c>
      <c r="AF104" t="s">
        <v>46</v>
      </c>
    </row>
    <row r="105" spans="1:32" x14ac:dyDescent="0.3">
      <c r="A105" t="s">
        <v>807</v>
      </c>
      <c r="B105" s="4">
        <v>45629</v>
      </c>
      <c r="C105" t="s">
        <v>808</v>
      </c>
      <c r="D105" t="s">
        <v>25</v>
      </c>
      <c r="E105" t="s">
        <v>1274</v>
      </c>
      <c r="F105" t="s">
        <v>50</v>
      </c>
      <c r="G105" t="s">
        <v>809</v>
      </c>
      <c r="H105">
        <v>2999</v>
      </c>
      <c r="I105" t="str">
        <f t="shared" si="9"/>
        <v>Normal</v>
      </c>
      <c r="J105">
        <v>1</v>
      </c>
      <c r="K105" t="str">
        <f t="shared" si="10"/>
        <v>Normal</v>
      </c>
      <c r="L105">
        <v>2999</v>
      </c>
      <c r="M105">
        <f t="shared" si="11"/>
        <v>2999</v>
      </c>
      <c r="N105" t="str">
        <f t="shared" si="12"/>
        <v>Match</v>
      </c>
      <c r="O105" t="s">
        <v>1140</v>
      </c>
      <c r="P105">
        <v>0</v>
      </c>
      <c r="Q105" t="str">
        <f t="shared" si="13"/>
        <v>Invalid</v>
      </c>
      <c r="R105" t="s">
        <v>28</v>
      </c>
      <c r="S105" t="s">
        <v>42</v>
      </c>
      <c r="T105" t="s">
        <v>810</v>
      </c>
      <c r="U105" t="s">
        <v>811</v>
      </c>
      <c r="V105" t="s">
        <v>43</v>
      </c>
      <c r="W105" s="4">
        <v>45640</v>
      </c>
      <c r="X105" s="4" t="str">
        <f t="shared" si="14"/>
        <v>Invalid</v>
      </c>
      <c r="Y105" t="s">
        <v>32</v>
      </c>
      <c r="Z105" t="str">
        <f t="shared" si="15"/>
        <v>Valid</v>
      </c>
      <c r="AA105" t="s">
        <v>44</v>
      </c>
      <c r="AB105" t="s">
        <v>64</v>
      </c>
      <c r="AC105" t="str">
        <f t="shared" si="16"/>
        <v>Valid</v>
      </c>
      <c r="AD105" s="4">
        <v>45662</v>
      </c>
      <c r="AE105" s="4" t="str">
        <f t="shared" si="17"/>
        <v>Invalid</v>
      </c>
      <c r="AF105" t="s">
        <v>46</v>
      </c>
    </row>
    <row r="106" spans="1:32" x14ac:dyDescent="0.3">
      <c r="A106" t="s">
        <v>694</v>
      </c>
      <c r="B106" s="4">
        <v>45618</v>
      </c>
      <c r="C106" t="s">
        <v>695</v>
      </c>
      <c r="D106" t="s">
        <v>25</v>
      </c>
      <c r="E106" t="s">
        <v>1457</v>
      </c>
      <c r="F106" t="s">
        <v>26</v>
      </c>
      <c r="G106" t="s">
        <v>696</v>
      </c>
      <c r="H106">
        <v>1699</v>
      </c>
      <c r="I106" t="str">
        <f t="shared" si="9"/>
        <v>Normal</v>
      </c>
      <c r="J106">
        <v>1</v>
      </c>
      <c r="K106" t="str">
        <f t="shared" si="10"/>
        <v>Normal</v>
      </c>
      <c r="L106">
        <v>1699</v>
      </c>
      <c r="M106">
        <f t="shared" si="11"/>
        <v>1444.1499999999999</v>
      </c>
      <c r="N106" t="str">
        <f t="shared" si="12"/>
        <v>Mismatch</v>
      </c>
      <c r="O106" s="1">
        <v>42309</v>
      </c>
      <c r="P106">
        <v>15</v>
      </c>
      <c r="Q106" t="str">
        <f t="shared" si="13"/>
        <v>Invalid</v>
      </c>
      <c r="R106" t="s">
        <v>28</v>
      </c>
      <c r="S106" t="s">
        <v>61</v>
      </c>
      <c r="T106" t="s">
        <v>43</v>
      </c>
      <c r="U106" t="s">
        <v>43</v>
      </c>
      <c r="V106" t="s">
        <v>43</v>
      </c>
      <c r="W106" s="4">
        <v>45633</v>
      </c>
      <c r="X106" s="4" t="str">
        <f t="shared" si="14"/>
        <v>Invalid</v>
      </c>
      <c r="Y106" t="s">
        <v>32</v>
      </c>
      <c r="Z106" t="str">
        <f t="shared" si="15"/>
        <v>Valid</v>
      </c>
      <c r="AA106" t="s">
        <v>44</v>
      </c>
      <c r="AB106" t="s">
        <v>122</v>
      </c>
      <c r="AC106" t="str">
        <f t="shared" si="16"/>
        <v>Valid</v>
      </c>
      <c r="AD106" s="4">
        <v>45662</v>
      </c>
      <c r="AE106" s="4" t="str">
        <f t="shared" si="17"/>
        <v>Invalid</v>
      </c>
      <c r="AF106" t="s">
        <v>46</v>
      </c>
    </row>
    <row r="107" spans="1:32" x14ac:dyDescent="0.3">
      <c r="A107" t="s">
        <v>825</v>
      </c>
      <c r="B107" s="4">
        <v>45630</v>
      </c>
      <c r="C107" t="s">
        <v>826</v>
      </c>
      <c r="D107" t="s">
        <v>25</v>
      </c>
      <c r="E107" t="s">
        <v>1312</v>
      </c>
      <c r="F107" t="s">
        <v>38</v>
      </c>
      <c r="G107" t="s">
        <v>827</v>
      </c>
      <c r="H107">
        <v>4999</v>
      </c>
      <c r="I107" t="str">
        <f t="shared" si="9"/>
        <v>Normal</v>
      </c>
      <c r="J107">
        <v>1</v>
      </c>
      <c r="K107" t="str">
        <f t="shared" si="10"/>
        <v>Normal</v>
      </c>
      <c r="L107">
        <v>4999</v>
      </c>
      <c r="M107">
        <f t="shared" si="11"/>
        <v>4999</v>
      </c>
      <c r="N107" t="str">
        <f t="shared" si="12"/>
        <v>Match</v>
      </c>
      <c r="O107" t="s">
        <v>1140</v>
      </c>
      <c r="P107">
        <v>0</v>
      </c>
      <c r="Q107" t="str">
        <f t="shared" si="13"/>
        <v>Invalid</v>
      </c>
      <c r="R107" t="s">
        <v>60</v>
      </c>
      <c r="S107" t="s">
        <v>61</v>
      </c>
      <c r="T107" t="s">
        <v>828</v>
      </c>
      <c r="U107" t="s">
        <v>828</v>
      </c>
      <c r="V107" t="s">
        <v>30</v>
      </c>
      <c r="W107" s="4">
        <v>45640</v>
      </c>
      <c r="X107" s="4" t="str">
        <f t="shared" si="14"/>
        <v>Invalid</v>
      </c>
      <c r="Y107" t="s">
        <v>32</v>
      </c>
      <c r="Z107" t="str">
        <f t="shared" si="15"/>
        <v>Valid</v>
      </c>
      <c r="AA107" t="s">
        <v>44</v>
      </c>
      <c r="AB107" t="s">
        <v>45</v>
      </c>
      <c r="AC107" t="str">
        <f t="shared" si="16"/>
        <v>Valid</v>
      </c>
      <c r="AD107" s="4">
        <v>45663</v>
      </c>
      <c r="AE107" s="4" t="str">
        <f t="shared" si="17"/>
        <v>Invalid</v>
      </c>
      <c r="AF107" t="s">
        <v>46</v>
      </c>
    </row>
    <row r="108" spans="1:32" x14ac:dyDescent="0.3">
      <c r="A108" t="s">
        <v>688</v>
      </c>
      <c r="B108" s="4">
        <v>45618</v>
      </c>
      <c r="C108" t="s">
        <v>689</v>
      </c>
      <c r="D108" t="s">
        <v>25</v>
      </c>
      <c r="E108" t="s">
        <v>1394</v>
      </c>
      <c r="F108" t="s">
        <v>57</v>
      </c>
      <c r="G108" t="s">
        <v>690</v>
      </c>
      <c r="H108">
        <v>5499</v>
      </c>
      <c r="I108" t="str">
        <f t="shared" si="9"/>
        <v>Normal</v>
      </c>
      <c r="J108">
        <v>1</v>
      </c>
      <c r="K108" t="str">
        <f t="shared" si="10"/>
        <v>Normal</v>
      </c>
      <c r="L108">
        <v>5499</v>
      </c>
      <c r="M108">
        <f t="shared" si="11"/>
        <v>5499</v>
      </c>
      <c r="N108" t="str">
        <f t="shared" si="12"/>
        <v>Match</v>
      </c>
      <c r="O108" t="s">
        <v>1140</v>
      </c>
      <c r="P108">
        <v>0</v>
      </c>
      <c r="Q108" t="str">
        <f t="shared" si="13"/>
        <v>Invalid</v>
      </c>
      <c r="R108" t="s">
        <v>100</v>
      </c>
      <c r="S108" t="s">
        <v>29</v>
      </c>
      <c r="T108" t="s">
        <v>183</v>
      </c>
      <c r="U108" t="s">
        <v>102</v>
      </c>
      <c r="V108" t="s">
        <v>43</v>
      </c>
      <c r="W108" s="4">
        <v>45634</v>
      </c>
      <c r="X108" s="4" t="str">
        <f t="shared" si="14"/>
        <v>Invalid</v>
      </c>
      <c r="Y108" t="s">
        <v>32</v>
      </c>
      <c r="Z108" t="str">
        <f t="shared" si="15"/>
        <v>Valid</v>
      </c>
      <c r="AA108" t="s">
        <v>44</v>
      </c>
      <c r="AB108" t="s">
        <v>73</v>
      </c>
      <c r="AC108" t="str">
        <f t="shared" si="16"/>
        <v>Valid</v>
      </c>
      <c r="AD108" s="4">
        <v>45663</v>
      </c>
      <c r="AE108" s="4" t="str">
        <f t="shared" si="17"/>
        <v>Invalid</v>
      </c>
      <c r="AF108" t="s">
        <v>46</v>
      </c>
    </row>
    <row r="109" spans="1:32" x14ac:dyDescent="0.3">
      <c r="A109" t="s">
        <v>715</v>
      </c>
      <c r="B109" s="4">
        <v>45621</v>
      </c>
      <c r="C109" t="s">
        <v>716</v>
      </c>
      <c r="D109" t="s">
        <v>37</v>
      </c>
      <c r="E109" t="s">
        <v>1221</v>
      </c>
      <c r="F109" t="s">
        <v>50</v>
      </c>
      <c r="G109" t="s">
        <v>717</v>
      </c>
      <c r="H109">
        <v>2099</v>
      </c>
      <c r="I109" t="str">
        <f t="shared" si="9"/>
        <v>Normal</v>
      </c>
      <c r="J109">
        <v>1</v>
      </c>
      <c r="K109" t="str">
        <f t="shared" si="10"/>
        <v>Normal</v>
      </c>
      <c r="L109">
        <v>2099</v>
      </c>
      <c r="M109">
        <f t="shared" si="11"/>
        <v>2099</v>
      </c>
      <c r="N109" t="str">
        <f t="shared" si="12"/>
        <v>Match</v>
      </c>
      <c r="O109" t="s">
        <v>1140</v>
      </c>
      <c r="P109">
        <v>0</v>
      </c>
      <c r="Q109" t="str">
        <f t="shared" si="13"/>
        <v>Invalid</v>
      </c>
      <c r="R109" t="s">
        <v>28</v>
      </c>
      <c r="S109" t="s">
        <v>29</v>
      </c>
      <c r="T109" t="s">
        <v>101</v>
      </c>
      <c r="U109" t="s">
        <v>102</v>
      </c>
      <c r="V109" t="s">
        <v>43</v>
      </c>
      <c r="W109" s="4">
        <v>45635</v>
      </c>
      <c r="X109" s="4" t="str">
        <f t="shared" si="14"/>
        <v>Invalid</v>
      </c>
      <c r="Y109" t="s">
        <v>32</v>
      </c>
      <c r="Z109" t="str">
        <f t="shared" si="15"/>
        <v>Valid</v>
      </c>
      <c r="AA109" t="s">
        <v>44</v>
      </c>
      <c r="AB109" t="s">
        <v>73</v>
      </c>
      <c r="AC109" t="str">
        <f t="shared" si="16"/>
        <v>Valid</v>
      </c>
      <c r="AD109" s="4">
        <v>45663</v>
      </c>
      <c r="AE109" s="4" t="str">
        <f t="shared" si="17"/>
        <v>Invalid</v>
      </c>
      <c r="AF109" t="s">
        <v>46</v>
      </c>
    </row>
    <row r="110" spans="1:32" x14ac:dyDescent="0.3">
      <c r="A110" t="s">
        <v>709</v>
      </c>
      <c r="B110" s="4">
        <v>45620</v>
      </c>
      <c r="C110" t="s">
        <v>710</v>
      </c>
      <c r="D110" t="s">
        <v>25</v>
      </c>
      <c r="E110" t="s">
        <v>1409</v>
      </c>
      <c r="F110" t="s">
        <v>26</v>
      </c>
      <c r="G110" t="s">
        <v>711</v>
      </c>
      <c r="H110">
        <v>2299</v>
      </c>
      <c r="I110" t="str">
        <f t="shared" si="9"/>
        <v>Normal</v>
      </c>
      <c r="J110">
        <v>1</v>
      </c>
      <c r="K110" t="str">
        <f t="shared" si="10"/>
        <v>Normal</v>
      </c>
      <c r="L110">
        <v>2299</v>
      </c>
      <c r="M110">
        <f t="shared" si="11"/>
        <v>2299</v>
      </c>
      <c r="N110" t="str">
        <f t="shared" si="12"/>
        <v>Match</v>
      </c>
      <c r="O110" t="s">
        <v>1140</v>
      </c>
      <c r="P110">
        <v>0</v>
      </c>
      <c r="Q110" t="str">
        <f t="shared" si="13"/>
        <v>Invalid</v>
      </c>
      <c r="R110" t="s">
        <v>60</v>
      </c>
      <c r="S110" t="s">
        <v>42</v>
      </c>
      <c r="T110" t="s">
        <v>87</v>
      </c>
      <c r="U110" t="s">
        <v>88</v>
      </c>
      <c r="V110" t="s">
        <v>30</v>
      </c>
      <c r="W110" s="4">
        <v>45635</v>
      </c>
      <c r="X110" s="4" t="str">
        <f t="shared" si="14"/>
        <v>Invalid</v>
      </c>
      <c r="Y110" t="s">
        <v>32</v>
      </c>
      <c r="Z110" t="str">
        <f t="shared" si="15"/>
        <v>Valid</v>
      </c>
      <c r="AA110" t="s">
        <v>44</v>
      </c>
      <c r="AB110" t="s">
        <v>94</v>
      </c>
      <c r="AC110" t="str">
        <f t="shared" si="16"/>
        <v>Valid</v>
      </c>
      <c r="AD110" s="4">
        <v>45664</v>
      </c>
      <c r="AE110" s="4" t="str">
        <f t="shared" si="17"/>
        <v>Invalid</v>
      </c>
      <c r="AF110" t="s">
        <v>46</v>
      </c>
    </row>
    <row r="111" spans="1:32" x14ac:dyDescent="0.3">
      <c r="A111" t="s">
        <v>703</v>
      </c>
      <c r="B111" s="4">
        <v>45619</v>
      </c>
      <c r="C111" t="s">
        <v>704</v>
      </c>
      <c r="D111" t="s">
        <v>25</v>
      </c>
      <c r="E111" t="s">
        <v>1381</v>
      </c>
      <c r="F111" t="s">
        <v>57</v>
      </c>
      <c r="G111" t="s">
        <v>705</v>
      </c>
      <c r="H111">
        <v>6799</v>
      </c>
      <c r="I111" t="str">
        <f t="shared" si="9"/>
        <v>Normal</v>
      </c>
      <c r="J111">
        <v>1</v>
      </c>
      <c r="K111" t="str">
        <f t="shared" si="10"/>
        <v>Normal</v>
      </c>
      <c r="L111">
        <v>6799</v>
      </c>
      <c r="M111">
        <f t="shared" si="11"/>
        <v>6799</v>
      </c>
      <c r="N111" t="str">
        <f t="shared" si="12"/>
        <v>Match</v>
      </c>
      <c r="O111" t="s">
        <v>1140</v>
      </c>
      <c r="P111">
        <v>0</v>
      </c>
      <c r="Q111" t="str">
        <f t="shared" si="13"/>
        <v>Invalid</v>
      </c>
      <c r="R111" t="s">
        <v>28</v>
      </c>
      <c r="S111" t="s">
        <v>61</v>
      </c>
      <c r="T111" t="s">
        <v>71</v>
      </c>
      <c r="U111" t="s">
        <v>72</v>
      </c>
      <c r="V111" t="s">
        <v>53</v>
      </c>
      <c r="W111" s="4">
        <v>45636</v>
      </c>
      <c r="X111" s="4" t="str">
        <f t="shared" si="14"/>
        <v>Invalid</v>
      </c>
      <c r="Y111" t="s">
        <v>32</v>
      </c>
      <c r="Z111" t="str">
        <f t="shared" si="15"/>
        <v>Valid</v>
      </c>
      <c r="AA111" t="s">
        <v>44</v>
      </c>
      <c r="AB111" t="s">
        <v>45</v>
      </c>
      <c r="AC111" t="str">
        <f t="shared" si="16"/>
        <v>Valid</v>
      </c>
      <c r="AD111" s="4">
        <v>45665</v>
      </c>
      <c r="AE111" s="4" t="str">
        <f t="shared" si="17"/>
        <v>Invalid</v>
      </c>
      <c r="AF111" t="s">
        <v>46</v>
      </c>
    </row>
    <row r="112" spans="1:32" x14ac:dyDescent="0.3">
      <c r="A112" t="s">
        <v>724</v>
      </c>
      <c r="B112" s="4">
        <v>45622</v>
      </c>
      <c r="C112" t="s">
        <v>725</v>
      </c>
      <c r="D112" t="s">
        <v>25</v>
      </c>
      <c r="E112" t="s">
        <v>1430</v>
      </c>
      <c r="F112" t="s">
        <v>26</v>
      </c>
      <c r="G112" t="s">
        <v>726</v>
      </c>
      <c r="H112">
        <v>1899</v>
      </c>
      <c r="I112" t="str">
        <f t="shared" si="9"/>
        <v>Normal</v>
      </c>
      <c r="J112">
        <v>1</v>
      </c>
      <c r="K112" t="str">
        <f t="shared" si="10"/>
        <v>Normal</v>
      </c>
      <c r="L112">
        <v>1899</v>
      </c>
      <c r="M112">
        <f t="shared" si="11"/>
        <v>1899</v>
      </c>
      <c r="N112" t="str">
        <f t="shared" si="12"/>
        <v>Match</v>
      </c>
      <c r="O112" t="s">
        <v>1140</v>
      </c>
      <c r="P112">
        <v>0</v>
      </c>
      <c r="Q112" t="str">
        <f t="shared" si="13"/>
        <v>Invalid</v>
      </c>
      <c r="R112" t="s">
        <v>100</v>
      </c>
      <c r="S112" t="s">
        <v>29</v>
      </c>
      <c r="T112" t="s">
        <v>43</v>
      </c>
      <c r="U112" t="s">
        <v>43</v>
      </c>
      <c r="V112" t="s">
        <v>43</v>
      </c>
      <c r="W112" s="4">
        <v>45637</v>
      </c>
      <c r="X112" s="4" t="str">
        <f t="shared" si="14"/>
        <v>Invalid</v>
      </c>
      <c r="Y112" t="s">
        <v>32</v>
      </c>
      <c r="Z112" t="str">
        <f t="shared" si="15"/>
        <v>Valid</v>
      </c>
      <c r="AA112" t="s">
        <v>44</v>
      </c>
      <c r="AB112" t="s">
        <v>122</v>
      </c>
      <c r="AC112" t="str">
        <f t="shared" si="16"/>
        <v>Valid</v>
      </c>
      <c r="AD112" s="4">
        <v>45665</v>
      </c>
      <c r="AE112" s="4" t="str">
        <f t="shared" si="17"/>
        <v>Invalid</v>
      </c>
      <c r="AF112" t="s">
        <v>46</v>
      </c>
    </row>
    <row r="113" spans="1:32" x14ac:dyDescent="0.3">
      <c r="A113" t="s">
        <v>832</v>
      </c>
      <c r="B113" s="4">
        <v>45631</v>
      </c>
      <c r="C113" t="s">
        <v>833</v>
      </c>
      <c r="D113" t="s">
        <v>25</v>
      </c>
      <c r="E113" t="s">
        <v>1271</v>
      </c>
      <c r="F113" t="s">
        <v>50</v>
      </c>
      <c r="G113" t="s">
        <v>612</v>
      </c>
      <c r="H113">
        <v>2599</v>
      </c>
      <c r="I113" t="str">
        <f t="shared" si="9"/>
        <v>Normal</v>
      </c>
      <c r="J113">
        <v>1</v>
      </c>
      <c r="K113" t="str">
        <f t="shared" si="10"/>
        <v>Normal</v>
      </c>
      <c r="L113">
        <v>2599</v>
      </c>
      <c r="M113">
        <f t="shared" si="11"/>
        <v>2599</v>
      </c>
      <c r="N113" t="str">
        <f t="shared" si="12"/>
        <v>Match</v>
      </c>
      <c r="O113" t="s">
        <v>1140</v>
      </c>
      <c r="P113">
        <v>0</v>
      </c>
      <c r="Q113" t="str">
        <f t="shared" si="13"/>
        <v>Invalid</v>
      </c>
      <c r="R113" t="s">
        <v>41</v>
      </c>
      <c r="S113" t="s">
        <v>42</v>
      </c>
      <c r="T113" t="s">
        <v>53</v>
      </c>
      <c r="U113" t="s">
        <v>54</v>
      </c>
      <c r="V113" t="s">
        <v>53</v>
      </c>
      <c r="W113" s="4">
        <v>45641</v>
      </c>
      <c r="X113" s="4" t="str">
        <f t="shared" si="14"/>
        <v>Invalid</v>
      </c>
      <c r="Y113" t="s">
        <v>32</v>
      </c>
      <c r="Z113" t="str">
        <f t="shared" si="15"/>
        <v>Valid</v>
      </c>
      <c r="AA113" t="s">
        <v>44</v>
      </c>
      <c r="AB113" t="s">
        <v>73</v>
      </c>
      <c r="AC113" t="str">
        <f t="shared" si="16"/>
        <v>Valid</v>
      </c>
      <c r="AD113" s="4">
        <v>45665</v>
      </c>
      <c r="AE113" s="4" t="str">
        <f t="shared" si="17"/>
        <v>Invalid</v>
      </c>
      <c r="AF113" t="s">
        <v>46</v>
      </c>
    </row>
    <row r="114" spans="1:32" x14ac:dyDescent="0.3">
      <c r="A114" t="s">
        <v>730</v>
      </c>
      <c r="B114" s="4">
        <v>45622</v>
      </c>
      <c r="C114" t="s">
        <v>731</v>
      </c>
      <c r="D114" t="s">
        <v>37</v>
      </c>
      <c r="E114" t="s">
        <v>1263</v>
      </c>
      <c r="F114" t="s">
        <v>50</v>
      </c>
      <c r="G114" t="s">
        <v>732</v>
      </c>
      <c r="H114">
        <v>2699</v>
      </c>
      <c r="I114" t="str">
        <f t="shared" si="9"/>
        <v>Normal</v>
      </c>
      <c r="J114">
        <v>1</v>
      </c>
      <c r="K114" t="str">
        <f t="shared" si="10"/>
        <v>Normal</v>
      </c>
      <c r="L114">
        <v>2699</v>
      </c>
      <c r="M114">
        <f t="shared" si="11"/>
        <v>2294.15</v>
      </c>
      <c r="N114" t="str">
        <f t="shared" si="12"/>
        <v>Mismatch</v>
      </c>
      <c r="O114" s="1">
        <v>42309</v>
      </c>
      <c r="P114">
        <v>15</v>
      </c>
      <c r="Q114" t="str">
        <f t="shared" si="13"/>
        <v>Invalid</v>
      </c>
      <c r="R114" t="s">
        <v>28</v>
      </c>
      <c r="S114" t="s">
        <v>61</v>
      </c>
      <c r="T114" t="s">
        <v>121</v>
      </c>
      <c r="U114" t="s">
        <v>102</v>
      </c>
      <c r="V114" t="s">
        <v>43</v>
      </c>
      <c r="W114" s="4">
        <v>45637</v>
      </c>
      <c r="X114" s="4" t="str">
        <f t="shared" si="14"/>
        <v>Invalid</v>
      </c>
      <c r="Y114" t="s">
        <v>32</v>
      </c>
      <c r="Z114" t="str">
        <f t="shared" si="15"/>
        <v>Valid</v>
      </c>
      <c r="AA114" t="s">
        <v>44</v>
      </c>
      <c r="AB114" t="s">
        <v>64</v>
      </c>
      <c r="AC114" t="str">
        <f t="shared" si="16"/>
        <v>Valid</v>
      </c>
      <c r="AD114" s="4">
        <v>45666</v>
      </c>
      <c r="AE114" s="4" t="str">
        <f t="shared" si="17"/>
        <v>Invalid</v>
      </c>
      <c r="AF114" t="s">
        <v>46</v>
      </c>
    </row>
    <row r="115" spans="1:32" x14ac:dyDescent="0.3">
      <c r="A115" t="s">
        <v>739</v>
      </c>
      <c r="B115" s="4">
        <v>45623</v>
      </c>
      <c r="C115" t="s">
        <v>740</v>
      </c>
      <c r="D115" t="s">
        <v>25</v>
      </c>
      <c r="E115" t="s">
        <v>1432</v>
      </c>
      <c r="F115" t="s">
        <v>26</v>
      </c>
      <c r="G115" t="s">
        <v>741</v>
      </c>
      <c r="H115">
        <v>1599</v>
      </c>
      <c r="I115" t="str">
        <f t="shared" si="9"/>
        <v>Normal</v>
      </c>
      <c r="J115">
        <v>1</v>
      </c>
      <c r="K115" t="str">
        <f t="shared" si="10"/>
        <v>Normal</v>
      </c>
      <c r="L115">
        <v>1599</v>
      </c>
      <c r="M115">
        <f t="shared" si="11"/>
        <v>1599</v>
      </c>
      <c r="N115" t="str">
        <f t="shared" si="12"/>
        <v>Match</v>
      </c>
      <c r="O115" t="s">
        <v>1140</v>
      </c>
      <c r="P115">
        <v>0</v>
      </c>
      <c r="Q115" t="str">
        <f t="shared" si="13"/>
        <v>Invalid</v>
      </c>
      <c r="R115" t="s">
        <v>28</v>
      </c>
      <c r="S115" t="s">
        <v>61</v>
      </c>
      <c r="T115" t="s">
        <v>136</v>
      </c>
      <c r="U115" t="s">
        <v>88</v>
      </c>
      <c r="V115" t="s">
        <v>30</v>
      </c>
      <c r="W115" s="4">
        <v>45639</v>
      </c>
      <c r="X115" s="4" t="str">
        <f t="shared" si="14"/>
        <v>Invalid</v>
      </c>
      <c r="Y115" t="s">
        <v>32</v>
      </c>
      <c r="Z115" t="str">
        <f t="shared" si="15"/>
        <v>Valid</v>
      </c>
      <c r="AA115" t="s">
        <v>44</v>
      </c>
      <c r="AB115" t="s">
        <v>94</v>
      </c>
      <c r="AC115" t="str">
        <f t="shared" si="16"/>
        <v>Valid</v>
      </c>
      <c r="AD115" s="4">
        <v>45667</v>
      </c>
      <c r="AE115" s="4" t="str">
        <f t="shared" si="17"/>
        <v>Invalid</v>
      </c>
      <c r="AF115" t="s">
        <v>46</v>
      </c>
    </row>
    <row r="116" spans="1:32" x14ac:dyDescent="0.3">
      <c r="A116" t="s">
        <v>718</v>
      </c>
      <c r="B116" s="4">
        <v>45621</v>
      </c>
      <c r="C116" t="s">
        <v>719</v>
      </c>
      <c r="D116" t="s">
        <v>25</v>
      </c>
      <c r="E116" t="s">
        <v>1383</v>
      </c>
      <c r="F116" t="s">
        <v>57</v>
      </c>
      <c r="G116" t="s">
        <v>720</v>
      </c>
      <c r="H116">
        <v>5799</v>
      </c>
      <c r="I116" t="str">
        <f t="shared" si="9"/>
        <v>Normal</v>
      </c>
      <c r="J116">
        <v>1</v>
      </c>
      <c r="K116" t="str">
        <f t="shared" si="10"/>
        <v>Normal</v>
      </c>
      <c r="L116">
        <v>5799</v>
      </c>
      <c r="M116">
        <f t="shared" si="11"/>
        <v>4929.1499999999996</v>
      </c>
      <c r="N116" t="str">
        <f t="shared" si="12"/>
        <v>Mismatch</v>
      </c>
      <c r="O116" s="1">
        <v>42309</v>
      </c>
      <c r="P116">
        <v>15</v>
      </c>
      <c r="Q116" t="str">
        <f t="shared" si="13"/>
        <v>Invalid</v>
      </c>
      <c r="R116" t="s">
        <v>52</v>
      </c>
      <c r="S116" t="s">
        <v>42</v>
      </c>
      <c r="T116" t="s">
        <v>53</v>
      </c>
      <c r="U116" t="s">
        <v>54</v>
      </c>
      <c r="V116" t="s">
        <v>53</v>
      </c>
      <c r="W116" s="4">
        <v>45638</v>
      </c>
      <c r="X116" s="4" t="str">
        <f t="shared" si="14"/>
        <v>Invalid</v>
      </c>
      <c r="Y116" t="s">
        <v>32</v>
      </c>
      <c r="Z116" t="str">
        <f t="shared" si="15"/>
        <v>Valid</v>
      </c>
      <c r="AA116" t="s">
        <v>44</v>
      </c>
      <c r="AB116" t="s">
        <v>45</v>
      </c>
      <c r="AC116" t="str">
        <f t="shared" si="16"/>
        <v>Valid</v>
      </c>
      <c r="AD116" s="4">
        <v>45667</v>
      </c>
      <c r="AE116" s="4" t="str">
        <f t="shared" si="17"/>
        <v>Invalid</v>
      </c>
      <c r="AF116" t="s">
        <v>46</v>
      </c>
    </row>
    <row r="117" spans="1:32" x14ac:dyDescent="0.3">
      <c r="A117" t="s">
        <v>834</v>
      </c>
      <c r="B117" s="4">
        <v>45631</v>
      </c>
      <c r="C117" t="s">
        <v>835</v>
      </c>
      <c r="D117" t="s">
        <v>37</v>
      </c>
      <c r="E117" t="s">
        <v>1367</v>
      </c>
      <c r="F117" t="s">
        <v>57</v>
      </c>
      <c r="G117" t="s">
        <v>836</v>
      </c>
      <c r="H117">
        <v>8999</v>
      </c>
      <c r="I117" t="str">
        <f t="shared" si="9"/>
        <v>Normal</v>
      </c>
      <c r="J117">
        <v>1</v>
      </c>
      <c r="K117" t="str">
        <f t="shared" si="10"/>
        <v>Normal</v>
      </c>
      <c r="L117">
        <v>8999</v>
      </c>
      <c r="M117">
        <f t="shared" si="11"/>
        <v>7199.2000000000007</v>
      </c>
      <c r="N117" t="str">
        <f t="shared" si="12"/>
        <v>Mismatch</v>
      </c>
      <c r="O117" s="1">
        <v>44166</v>
      </c>
      <c r="P117">
        <v>20</v>
      </c>
      <c r="Q117" t="str">
        <f t="shared" si="13"/>
        <v>Invalid</v>
      </c>
      <c r="R117" t="s">
        <v>100</v>
      </c>
      <c r="S117" t="s">
        <v>61</v>
      </c>
      <c r="T117" t="s">
        <v>43</v>
      </c>
      <c r="U117" t="s">
        <v>43</v>
      </c>
      <c r="V117" t="s">
        <v>43</v>
      </c>
      <c r="W117" s="4">
        <v>45643</v>
      </c>
      <c r="X117" s="4" t="str">
        <f t="shared" si="14"/>
        <v>Invalid</v>
      </c>
      <c r="Y117" t="s">
        <v>32</v>
      </c>
      <c r="Z117" t="str">
        <f t="shared" si="15"/>
        <v>Valid</v>
      </c>
      <c r="AA117" t="s">
        <v>44</v>
      </c>
      <c r="AB117" t="s">
        <v>45</v>
      </c>
      <c r="AC117" t="str">
        <f t="shared" si="16"/>
        <v>Valid</v>
      </c>
      <c r="AD117" s="4">
        <v>45667</v>
      </c>
      <c r="AE117" s="4" t="str">
        <f t="shared" si="17"/>
        <v>Invalid</v>
      </c>
      <c r="AF117" t="s">
        <v>95</v>
      </c>
    </row>
    <row r="118" spans="1:32" x14ac:dyDescent="0.3">
      <c r="A118" t="s">
        <v>745</v>
      </c>
      <c r="B118" s="4">
        <v>45624</v>
      </c>
      <c r="C118" t="s">
        <v>746</v>
      </c>
      <c r="D118" t="s">
        <v>37</v>
      </c>
      <c r="E118" t="s">
        <v>1246</v>
      </c>
      <c r="F118" t="s">
        <v>50</v>
      </c>
      <c r="G118" t="s">
        <v>747</v>
      </c>
      <c r="H118">
        <v>2399</v>
      </c>
      <c r="I118" t="str">
        <f t="shared" si="9"/>
        <v>Normal</v>
      </c>
      <c r="J118">
        <v>1</v>
      </c>
      <c r="K118" t="str">
        <f t="shared" si="10"/>
        <v>Normal</v>
      </c>
      <c r="L118">
        <v>2399</v>
      </c>
      <c r="M118">
        <f t="shared" si="11"/>
        <v>2399</v>
      </c>
      <c r="N118" t="str">
        <f t="shared" si="12"/>
        <v>Match</v>
      </c>
      <c r="O118" t="s">
        <v>1140</v>
      </c>
      <c r="P118">
        <v>0</v>
      </c>
      <c r="Q118" t="str">
        <f t="shared" si="13"/>
        <v>Invalid</v>
      </c>
      <c r="R118" t="s">
        <v>60</v>
      </c>
      <c r="S118" t="s">
        <v>42</v>
      </c>
      <c r="T118" t="s">
        <v>145</v>
      </c>
      <c r="U118" t="s">
        <v>132</v>
      </c>
      <c r="V118" t="s">
        <v>30</v>
      </c>
      <c r="W118" s="4">
        <v>45639</v>
      </c>
      <c r="X118" s="4" t="str">
        <f t="shared" si="14"/>
        <v>Invalid</v>
      </c>
      <c r="Y118" t="s">
        <v>32</v>
      </c>
      <c r="Z118" t="str">
        <f t="shared" si="15"/>
        <v>Valid</v>
      </c>
      <c r="AA118" t="s">
        <v>44</v>
      </c>
      <c r="AB118" t="s">
        <v>73</v>
      </c>
      <c r="AC118" t="str">
        <f t="shared" si="16"/>
        <v>Valid</v>
      </c>
      <c r="AD118" s="4">
        <v>45668</v>
      </c>
      <c r="AE118" s="4" t="str">
        <f t="shared" si="17"/>
        <v>Invalid</v>
      </c>
      <c r="AF118" t="s">
        <v>46</v>
      </c>
    </row>
    <row r="119" spans="1:32" x14ac:dyDescent="0.3">
      <c r="A119" t="s">
        <v>733</v>
      </c>
      <c r="B119" s="4">
        <v>45623</v>
      </c>
      <c r="C119" t="s">
        <v>734</v>
      </c>
      <c r="D119" t="s">
        <v>25</v>
      </c>
      <c r="E119" t="s">
        <v>1386</v>
      </c>
      <c r="F119" t="s">
        <v>57</v>
      </c>
      <c r="G119" t="s">
        <v>735</v>
      </c>
      <c r="H119">
        <v>4999</v>
      </c>
      <c r="I119" t="str">
        <f t="shared" si="9"/>
        <v>Normal</v>
      </c>
      <c r="J119">
        <v>1</v>
      </c>
      <c r="K119" t="str">
        <f t="shared" si="10"/>
        <v>Normal</v>
      </c>
      <c r="L119">
        <v>4999</v>
      </c>
      <c r="M119">
        <f t="shared" si="11"/>
        <v>4999</v>
      </c>
      <c r="N119" t="str">
        <f t="shared" si="12"/>
        <v>Match</v>
      </c>
      <c r="O119" t="s">
        <v>1140</v>
      </c>
      <c r="P119">
        <v>0</v>
      </c>
      <c r="Q119" t="str">
        <f t="shared" si="13"/>
        <v>Invalid</v>
      </c>
      <c r="R119" t="s">
        <v>41</v>
      </c>
      <c r="S119" t="s">
        <v>29</v>
      </c>
      <c r="T119" t="s">
        <v>126</v>
      </c>
      <c r="U119" t="s">
        <v>127</v>
      </c>
      <c r="V119" t="s">
        <v>43</v>
      </c>
      <c r="W119" s="4">
        <v>45640</v>
      </c>
      <c r="X119" s="4" t="str">
        <f t="shared" si="14"/>
        <v>Invalid</v>
      </c>
      <c r="Y119" t="s">
        <v>32</v>
      </c>
      <c r="Z119" t="str">
        <f t="shared" si="15"/>
        <v>Valid</v>
      </c>
      <c r="AA119" t="s">
        <v>44</v>
      </c>
      <c r="AB119" t="s">
        <v>45</v>
      </c>
      <c r="AC119" t="str">
        <f t="shared" si="16"/>
        <v>Valid</v>
      </c>
      <c r="AD119" s="4">
        <v>45669</v>
      </c>
      <c r="AE119" s="4" t="str">
        <f t="shared" si="17"/>
        <v>Invalid</v>
      </c>
      <c r="AF119" t="s">
        <v>46</v>
      </c>
    </row>
    <row r="120" spans="1:32" x14ac:dyDescent="0.3">
      <c r="A120" t="s">
        <v>843</v>
      </c>
      <c r="B120" s="4">
        <v>45632</v>
      </c>
      <c r="C120" t="s">
        <v>844</v>
      </c>
      <c r="D120" t="s">
        <v>25</v>
      </c>
      <c r="E120" t="s">
        <v>1301</v>
      </c>
      <c r="F120" t="s">
        <v>38</v>
      </c>
      <c r="G120" t="s">
        <v>845</v>
      </c>
      <c r="H120">
        <v>3799</v>
      </c>
      <c r="I120" t="str">
        <f t="shared" si="9"/>
        <v>Normal</v>
      </c>
      <c r="J120">
        <v>1</v>
      </c>
      <c r="K120" t="str">
        <f t="shared" si="10"/>
        <v>Normal</v>
      </c>
      <c r="L120">
        <v>3799</v>
      </c>
      <c r="M120">
        <f t="shared" si="11"/>
        <v>3039.2000000000003</v>
      </c>
      <c r="N120" t="str">
        <f t="shared" si="12"/>
        <v>Mismatch</v>
      </c>
      <c r="O120" s="1">
        <v>44166</v>
      </c>
      <c r="P120">
        <v>20</v>
      </c>
      <c r="Q120" t="str">
        <f t="shared" si="13"/>
        <v>Invalid</v>
      </c>
      <c r="R120" t="s">
        <v>52</v>
      </c>
      <c r="S120" t="s">
        <v>61</v>
      </c>
      <c r="T120" t="s">
        <v>77</v>
      </c>
      <c r="U120" t="s">
        <v>31</v>
      </c>
      <c r="V120" t="s">
        <v>30</v>
      </c>
      <c r="W120" s="4">
        <v>45644</v>
      </c>
      <c r="X120" s="4" t="str">
        <f t="shared" si="14"/>
        <v>Invalid</v>
      </c>
      <c r="Y120" t="s">
        <v>32</v>
      </c>
      <c r="Z120" t="str">
        <f t="shared" si="15"/>
        <v>Valid</v>
      </c>
      <c r="AA120" t="s">
        <v>44</v>
      </c>
      <c r="AB120" t="s">
        <v>64</v>
      </c>
      <c r="AC120" t="str">
        <f t="shared" si="16"/>
        <v>Valid</v>
      </c>
      <c r="AD120" s="4">
        <v>45669</v>
      </c>
      <c r="AE120" s="4" t="str">
        <f t="shared" si="17"/>
        <v>Invalid</v>
      </c>
      <c r="AF120" t="s">
        <v>46</v>
      </c>
    </row>
    <row r="121" spans="1:32" x14ac:dyDescent="0.3">
      <c r="A121" t="s">
        <v>849</v>
      </c>
      <c r="B121" s="4">
        <v>45632</v>
      </c>
      <c r="C121" t="s">
        <v>850</v>
      </c>
      <c r="D121" t="s">
        <v>37</v>
      </c>
      <c r="E121" t="s">
        <v>1355</v>
      </c>
      <c r="F121" t="s">
        <v>57</v>
      </c>
      <c r="G121" t="s">
        <v>851</v>
      </c>
      <c r="H121">
        <v>4599</v>
      </c>
      <c r="I121" t="str">
        <f t="shared" si="9"/>
        <v>Normal</v>
      </c>
      <c r="J121">
        <v>1</v>
      </c>
      <c r="K121" t="str">
        <f t="shared" si="10"/>
        <v>Normal</v>
      </c>
      <c r="L121">
        <v>4599</v>
      </c>
      <c r="M121">
        <f t="shared" si="11"/>
        <v>3679.2000000000003</v>
      </c>
      <c r="N121" t="str">
        <f t="shared" si="12"/>
        <v>Mismatch</v>
      </c>
      <c r="O121" s="1">
        <v>44166</v>
      </c>
      <c r="P121">
        <v>20</v>
      </c>
      <c r="Q121" t="str">
        <f t="shared" si="13"/>
        <v>Invalid</v>
      </c>
      <c r="R121" t="s">
        <v>28</v>
      </c>
      <c r="S121" t="s">
        <v>42</v>
      </c>
      <c r="T121" t="s">
        <v>92</v>
      </c>
      <c r="U121" t="s">
        <v>93</v>
      </c>
      <c r="V121" t="s">
        <v>43</v>
      </c>
      <c r="W121" s="4">
        <v>45645</v>
      </c>
      <c r="X121" s="4" t="str">
        <f t="shared" si="14"/>
        <v>Invalid</v>
      </c>
      <c r="Y121" t="s">
        <v>32</v>
      </c>
      <c r="Z121" t="str">
        <f t="shared" si="15"/>
        <v>Valid</v>
      </c>
      <c r="AA121" t="s">
        <v>44</v>
      </c>
      <c r="AB121" t="s">
        <v>45</v>
      </c>
      <c r="AC121" t="str">
        <f t="shared" si="16"/>
        <v>Valid</v>
      </c>
      <c r="AD121" s="4">
        <v>45671</v>
      </c>
      <c r="AE121" s="4" t="str">
        <f t="shared" si="17"/>
        <v>Invalid</v>
      </c>
      <c r="AF121" t="s">
        <v>46</v>
      </c>
    </row>
    <row r="122" spans="1:32" x14ac:dyDescent="0.3">
      <c r="A122" t="s">
        <v>748</v>
      </c>
      <c r="B122" s="4">
        <v>45624</v>
      </c>
      <c r="C122" t="s">
        <v>749</v>
      </c>
      <c r="D122" t="s">
        <v>25</v>
      </c>
      <c r="E122" t="s">
        <v>1365</v>
      </c>
      <c r="F122" t="s">
        <v>57</v>
      </c>
      <c r="G122" t="s">
        <v>750</v>
      </c>
      <c r="H122">
        <v>6499</v>
      </c>
      <c r="I122" t="str">
        <f t="shared" si="9"/>
        <v>Normal</v>
      </c>
      <c r="J122">
        <v>1</v>
      </c>
      <c r="K122" t="str">
        <f t="shared" si="10"/>
        <v>Normal</v>
      </c>
      <c r="L122">
        <v>6499</v>
      </c>
      <c r="M122">
        <f t="shared" si="11"/>
        <v>6499</v>
      </c>
      <c r="N122" t="str">
        <f t="shared" si="12"/>
        <v>Match</v>
      </c>
      <c r="O122" t="s">
        <v>1140</v>
      </c>
      <c r="P122">
        <v>0</v>
      </c>
      <c r="Q122" t="str">
        <f t="shared" si="13"/>
        <v>Invalid</v>
      </c>
      <c r="R122" t="s">
        <v>41</v>
      </c>
      <c r="S122" t="s">
        <v>61</v>
      </c>
      <c r="T122" t="s">
        <v>149</v>
      </c>
      <c r="U122" t="s">
        <v>31</v>
      </c>
      <c r="V122" t="s">
        <v>30</v>
      </c>
      <c r="W122" s="4">
        <v>45642</v>
      </c>
      <c r="X122" s="4" t="str">
        <f t="shared" si="14"/>
        <v>Invalid</v>
      </c>
      <c r="Y122" t="s">
        <v>32</v>
      </c>
      <c r="Z122" t="str">
        <f t="shared" si="15"/>
        <v>Valid</v>
      </c>
      <c r="AA122" t="s">
        <v>44</v>
      </c>
      <c r="AB122" t="s">
        <v>45</v>
      </c>
      <c r="AC122" t="str">
        <f t="shared" si="16"/>
        <v>Valid</v>
      </c>
      <c r="AD122" s="4">
        <v>45671</v>
      </c>
      <c r="AE122" s="4" t="str">
        <f t="shared" si="17"/>
        <v>Invalid</v>
      </c>
      <c r="AF122" t="s">
        <v>46</v>
      </c>
    </row>
    <row r="123" spans="1:32" x14ac:dyDescent="0.3">
      <c r="A123" t="s">
        <v>766</v>
      </c>
      <c r="B123" s="4">
        <v>45626</v>
      </c>
      <c r="C123" t="s">
        <v>767</v>
      </c>
      <c r="D123" t="s">
        <v>25</v>
      </c>
      <c r="E123" t="s">
        <v>1165</v>
      </c>
      <c r="F123" t="s">
        <v>66</v>
      </c>
      <c r="G123" t="s">
        <v>768</v>
      </c>
      <c r="H123">
        <v>1099</v>
      </c>
      <c r="I123" t="str">
        <f t="shared" si="9"/>
        <v>Normal</v>
      </c>
      <c r="J123">
        <v>1</v>
      </c>
      <c r="K123" t="str">
        <f t="shared" si="10"/>
        <v>Normal</v>
      </c>
      <c r="L123">
        <v>1099</v>
      </c>
      <c r="M123">
        <f t="shared" si="11"/>
        <v>1099</v>
      </c>
      <c r="N123" t="str">
        <f t="shared" si="12"/>
        <v>Match</v>
      </c>
      <c r="O123" t="s">
        <v>1140</v>
      </c>
      <c r="P123">
        <v>0</v>
      </c>
      <c r="Q123" t="str">
        <f t="shared" si="13"/>
        <v>Invalid</v>
      </c>
      <c r="R123" t="s">
        <v>28</v>
      </c>
      <c r="S123" t="s">
        <v>61</v>
      </c>
      <c r="T123" t="s">
        <v>175</v>
      </c>
      <c r="U123" t="s">
        <v>88</v>
      </c>
      <c r="V123" t="s">
        <v>30</v>
      </c>
      <c r="W123" s="4">
        <v>45642</v>
      </c>
      <c r="X123" s="4" t="str">
        <f t="shared" si="14"/>
        <v>Invalid</v>
      </c>
      <c r="Y123" t="s">
        <v>32</v>
      </c>
      <c r="Z123" t="str">
        <f t="shared" si="15"/>
        <v>Valid</v>
      </c>
      <c r="AA123" t="s">
        <v>44</v>
      </c>
      <c r="AB123" t="s">
        <v>45</v>
      </c>
      <c r="AC123" t="str">
        <f t="shared" si="16"/>
        <v>Valid</v>
      </c>
      <c r="AD123" s="4">
        <v>45671</v>
      </c>
      <c r="AE123" s="4" t="str">
        <f t="shared" si="17"/>
        <v>Invalid</v>
      </c>
      <c r="AF123" t="s">
        <v>46</v>
      </c>
    </row>
    <row r="124" spans="1:32" x14ac:dyDescent="0.3">
      <c r="A124" t="s">
        <v>757</v>
      </c>
      <c r="B124" s="4">
        <v>45625</v>
      </c>
      <c r="C124" t="s">
        <v>758</v>
      </c>
      <c r="D124" t="s">
        <v>25</v>
      </c>
      <c r="E124" t="s">
        <v>1311</v>
      </c>
      <c r="F124" t="s">
        <v>38</v>
      </c>
      <c r="G124" t="s">
        <v>759</v>
      </c>
      <c r="H124">
        <v>5499</v>
      </c>
      <c r="I124" t="str">
        <f t="shared" si="9"/>
        <v>Normal</v>
      </c>
      <c r="J124">
        <v>1</v>
      </c>
      <c r="K124" t="str">
        <f t="shared" si="10"/>
        <v>Normal</v>
      </c>
      <c r="L124">
        <v>5499</v>
      </c>
      <c r="M124">
        <f t="shared" si="11"/>
        <v>4674.1499999999996</v>
      </c>
      <c r="N124" t="str">
        <f t="shared" si="12"/>
        <v>Mismatch</v>
      </c>
      <c r="O124" s="1">
        <v>42309</v>
      </c>
      <c r="P124">
        <v>15</v>
      </c>
      <c r="Q124" t="str">
        <f t="shared" si="13"/>
        <v>Invalid</v>
      </c>
      <c r="R124" t="s">
        <v>41</v>
      </c>
      <c r="S124" t="s">
        <v>61</v>
      </c>
      <c r="T124" t="s">
        <v>162</v>
      </c>
      <c r="U124" t="s">
        <v>163</v>
      </c>
      <c r="V124" t="s">
        <v>53</v>
      </c>
      <c r="W124" s="4">
        <v>45643</v>
      </c>
      <c r="X124" s="4" t="str">
        <f t="shared" si="14"/>
        <v>Invalid</v>
      </c>
      <c r="Y124" t="s">
        <v>32</v>
      </c>
      <c r="Z124" t="str">
        <f t="shared" si="15"/>
        <v>Valid</v>
      </c>
      <c r="AA124" t="s">
        <v>44</v>
      </c>
      <c r="AB124" t="s">
        <v>64</v>
      </c>
      <c r="AC124" t="str">
        <f t="shared" si="16"/>
        <v>Valid</v>
      </c>
      <c r="AD124" s="4">
        <v>45672</v>
      </c>
      <c r="AE124" s="4" t="str">
        <f t="shared" si="17"/>
        <v>Invalid</v>
      </c>
      <c r="AF124" t="s">
        <v>46</v>
      </c>
    </row>
    <row r="125" spans="1:32" x14ac:dyDescent="0.3">
      <c r="A125" t="s">
        <v>860</v>
      </c>
      <c r="B125" s="4">
        <v>45633</v>
      </c>
      <c r="C125" t="s">
        <v>861</v>
      </c>
      <c r="D125" t="s">
        <v>25</v>
      </c>
      <c r="E125" t="s">
        <v>1264</v>
      </c>
      <c r="F125" t="s">
        <v>50</v>
      </c>
      <c r="G125" t="s">
        <v>732</v>
      </c>
      <c r="H125">
        <v>2199</v>
      </c>
      <c r="I125" t="str">
        <f t="shared" si="9"/>
        <v>Normal</v>
      </c>
      <c r="J125">
        <v>1</v>
      </c>
      <c r="K125" t="str">
        <f t="shared" si="10"/>
        <v>Normal</v>
      </c>
      <c r="L125">
        <v>2199</v>
      </c>
      <c r="M125">
        <f t="shared" si="11"/>
        <v>2199</v>
      </c>
      <c r="N125" t="str">
        <f t="shared" si="12"/>
        <v>Match</v>
      </c>
      <c r="O125" s="1" t="s">
        <v>1140</v>
      </c>
      <c r="P125">
        <v>0</v>
      </c>
      <c r="Q125" t="str">
        <f t="shared" si="13"/>
        <v>Invalid</v>
      </c>
      <c r="R125" t="s">
        <v>52</v>
      </c>
      <c r="S125" t="s">
        <v>61</v>
      </c>
      <c r="T125" t="s">
        <v>43</v>
      </c>
      <c r="U125" t="s">
        <v>43</v>
      </c>
      <c r="V125" t="s">
        <v>43</v>
      </c>
      <c r="W125" s="4">
        <v>45647</v>
      </c>
      <c r="X125" s="4" t="str">
        <f t="shared" si="14"/>
        <v>Invalid</v>
      </c>
      <c r="Y125" t="s">
        <v>32</v>
      </c>
      <c r="Z125" t="str">
        <f t="shared" si="15"/>
        <v>Valid</v>
      </c>
      <c r="AA125" t="s">
        <v>44</v>
      </c>
      <c r="AB125" t="s">
        <v>122</v>
      </c>
      <c r="AC125" t="str">
        <f t="shared" si="16"/>
        <v>Valid</v>
      </c>
      <c r="AD125" s="4">
        <v>45672</v>
      </c>
      <c r="AE125" s="4" t="str">
        <f t="shared" si="17"/>
        <v>Invalid</v>
      </c>
      <c r="AF125" t="s">
        <v>95</v>
      </c>
    </row>
    <row r="126" spans="1:32" x14ac:dyDescent="0.3">
      <c r="A126" t="s">
        <v>868</v>
      </c>
      <c r="B126" s="4">
        <v>45634</v>
      </c>
      <c r="C126" t="s">
        <v>869</v>
      </c>
      <c r="D126" t="s">
        <v>25</v>
      </c>
      <c r="E126" t="s">
        <v>1448</v>
      </c>
      <c r="F126" t="s">
        <v>26</v>
      </c>
      <c r="G126" t="s">
        <v>219</v>
      </c>
      <c r="H126">
        <v>1699</v>
      </c>
      <c r="I126" t="str">
        <f t="shared" si="9"/>
        <v>Normal</v>
      </c>
      <c r="J126">
        <v>2</v>
      </c>
      <c r="K126" t="str">
        <f t="shared" si="10"/>
        <v>Normal</v>
      </c>
      <c r="L126">
        <v>3398</v>
      </c>
      <c r="M126">
        <f t="shared" si="11"/>
        <v>3398</v>
      </c>
      <c r="N126" t="str">
        <f t="shared" si="12"/>
        <v>Match</v>
      </c>
      <c r="O126" s="1" t="s">
        <v>1140</v>
      </c>
      <c r="P126">
        <v>0</v>
      </c>
      <c r="Q126" t="str">
        <f t="shared" si="13"/>
        <v>Invalid</v>
      </c>
      <c r="R126" t="s">
        <v>60</v>
      </c>
      <c r="S126" t="s">
        <v>61</v>
      </c>
      <c r="T126" t="s">
        <v>136</v>
      </c>
      <c r="U126" t="s">
        <v>88</v>
      </c>
      <c r="V126" t="s">
        <v>30</v>
      </c>
      <c r="W126" s="4">
        <v>45648</v>
      </c>
      <c r="X126" s="4" t="str">
        <f t="shared" si="14"/>
        <v>Invalid</v>
      </c>
      <c r="Y126" t="s">
        <v>32</v>
      </c>
      <c r="Z126" t="str">
        <f t="shared" si="15"/>
        <v>Valid</v>
      </c>
      <c r="AA126" t="s">
        <v>44</v>
      </c>
      <c r="AB126" t="s">
        <v>45</v>
      </c>
      <c r="AC126" t="str">
        <f t="shared" si="16"/>
        <v>Valid</v>
      </c>
      <c r="AD126" s="4">
        <v>45673</v>
      </c>
      <c r="AE126" s="4" t="str">
        <f t="shared" si="17"/>
        <v>Invalid</v>
      </c>
      <c r="AF126" t="s">
        <v>46</v>
      </c>
    </row>
    <row r="127" spans="1:32" x14ac:dyDescent="0.3">
      <c r="A127" t="s">
        <v>763</v>
      </c>
      <c r="B127" s="4">
        <v>45626</v>
      </c>
      <c r="C127" t="s">
        <v>764</v>
      </c>
      <c r="D127" t="s">
        <v>25</v>
      </c>
      <c r="E127" t="s">
        <v>1369</v>
      </c>
      <c r="F127" t="s">
        <v>57</v>
      </c>
      <c r="G127" t="s">
        <v>765</v>
      </c>
      <c r="H127">
        <v>5299</v>
      </c>
      <c r="I127" t="str">
        <f t="shared" si="9"/>
        <v>Normal</v>
      </c>
      <c r="J127">
        <v>1</v>
      </c>
      <c r="K127" t="str">
        <f t="shared" si="10"/>
        <v>Normal</v>
      </c>
      <c r="L127">
        <v>5299</v>
      </c>
      <c r="M127">
        <f t="shared" si="11"/>
        <v>5299</v>
      </c>
      <c r="N127" t="str">
        <f t="shared" si="12"/>
        <v>Match</v>
      </c>
      <c r="O127" t="s">
        <v>1140</v>
      </c>
      <c r="P127">
        <v>0</v>
      </c>
      <c r="Q127" t="str">
        <f t="shared" si="13"/>
        <v>Invalid</v>
      </c>
      <c r="R127" t="s">
        <v>60</v>
      </c>
      <c r="S127" t="s">
        <v>42</v>
      </c>
      <c r="T127" t="s">
        <v>171</v>
      </c>
      <c r="U127" t="s">
        <v>54</v>
      </c>
      <c r="V127" t="s">
        <v>53</v>
      </c>
      <c r="W127" s="4">
        <v>45644</v>
      </c>
      <c r="X127" s="4" t="str">
        <f t="shared" si="14"/>
        <v>Invalid</v>
      </c>
      <c r="Y127" t="s">
        <v>32</v>
      </c>
      <c r="Z127" t="str">
        <f t="shared" si="15"/>
        <v>Valid</v>
      </c>
      <c r="AA127" t="s">
        <v>44</v>
      </c>
      <c r="AB127" t="s">
        <v>122</v>
      </c>
      <c r="AC127" t="str">
        <f t="shared" si="16"/>
        <v>Valid</v>
      </c>
      <c r="AD127" s="4">
        <v>45673</v>
      </c>
      <c r="AE127" s="4" t="str">
        <f t="shared" si="17"/>
        <v>Invalid</v>
      </c>
      <c r="AF127" t="s">
        <v>46</v>
      </c>
    </row>
    <row r="128" spans="1:32" x14ac:dyDescent="0.3">
      <c r="A128" t="s">
        <v>870</v>
      </c>
      <c r="B128" s="4">
        <v>45634</v>
      </c>
      <c r="C128" t="s">
        <v>871</v>
      </c>
      <c r="D128" t="s">
        <v>25</v>
      </c>
      <c r="E128" t="s">
        <v>1278</v>
      </c>
      <c r="F128" t="s">
        <v>38</v>
      </c>
      <c r="G128" t="s">
        <v>872</v>
      </c>
      <c r="H128">
        <v>2799</v>
      </c>
      <c r="I128" t="str">
        <f t="shared" si="9"/>
        <v>Normal</v>
      </c>
      <c r="J128">
        <v>1</v>
      </c>
      <c r="K128" t="str">
        <f t="shared" si="10"/>
        <v>Normal</v>
      </c>
      <c r="L128">
        <v>2799</v>
      </c>
      <c r="M128">
        <f t="shared" si="11"/>
        <v>2239.2000000000003</v>
      </c>
      <c r="N128" t="str">
        <f t="shared" si="12"/>
        <v>Mismatch</v>
      </c>
      <c r="O128" s="1">
        <v>44166</v>
      </c>
      <c r="P128">
        <v>20</v>
      </c>
      <c r="Q128" t="str">
        <f t="shared" si="13"/>
        <v>Invalid</v>
      </c>
      <c r="R128" t="s">
        <v>41</v>
      </c>
      <c r="S128" t="s">
        <v>29</v>
      </c>
      <c r="T128" t="s">
        <v>175</v>
      </c>
      <c r="U128" t="s">
        <v>88</v>
      </c>
      <c r="V128" t="s">
        <v>30</v>
      </c>
      <c r="W128" s="4">
        <v>45649</v>
      </c>
      <c r="X128" s="4" t="str">
        <f t="shared" si="14"/>
        <v>Invalid</v>
      </c>
      <c r="Y128" t="s">
        <v>32</v>
      </c>
      <c r="Z128" t="str">
        <f t="shared" si="15"/>
        <v>Valid</v>
      </c>
      <c r="AA128" t="s">
        <v>44</v>
      </c>
      <c r="AB128" t="s">
        <v>94</v>
      </c>
      <c r="AC128" t="str">
        <f t="shared" si="16"/>
        <v>Valid</v>
      </c>
      <c r="AD128" s="4">
        <v>45675</v>
      </c>
      <c r="AE128" s="4" t="str">
        <f t="shared" si="17"/>
        <v>Invalid</v>
      </c>
      <c r="AF128" t="s">
        <v>46</v>
      </c>
    </row>
    <row r="129" spans="1:32" x14ac:dyDescent="0.3">
      <c r="A129" t="s">
        <v>881</v>
      </c>
      <c r="B129" s="4">
        <v>45635</v>
      </c>
      <c r="C129" t="s">
        <v>882</v>
      </c>
      <c r="D129" t="s">
        <v>25</v>
      </c>
      <c r="E129" t="s">
        <v>1429</v>
      </c>
      <c r="F129" t="s">
        <v>26</v>
      </c>
      <c r="G129" t="s">
        <v>883</v>
      </c>
      <c r="H129">
        <v>2099</v>
      </c>
      <c r="I129" t="str">
        <f t="shared" si="9"/>
        <v>Normal</v>
      </c>
      <c r="J129">
        <v>1</v>
      </c>
      <c r="K129" t="str">
        <f t="shared" si="10"/>
        <v>Normal</v>
      </c>
      <c r="L129">
        <v>2099</v>
      </c>
      <c r="M129">
        <f t="shared" si="11"/>
        <v>2099</v>
      </c>
      <c r="N129" t="str">
        <f t="shared" si="12"/>
        <v>Match</v>
      </c>
      <c r="O129" s="1" t="s">
        <v>1140</v>
      </c>
      <c r="P129">
        <v>0</v>
      </c>
      <c r="Q129" t="str">
        <f t="shared" si="13"/>
        <v>Invalid</v>
      </c>
      <c r="R129" t="s">
        <v>60</v>
      </c>
      <c r="S129" t="s">
        <v>42</v>
      </c>
      <c r="T129" t="s">
        <v>43</v>
      </c>
      <c r="U129" t="s">
        <v>43</v>
      </c>
      <c r="V129" t="s">
        <v>43</v>
      </c>
      <c r="W129" s="4">
        <v>45650</v>
      </c>
      <c r="X129" s="4" t="str">
        <f t="shared" si="14"/>
        <v>Invalid</v>
      </c>
      <c r="Y129" t="s">
        <v>32</v>
      </c>
      <c r="Z129" t="str">
        <f t="shared" si="15"/>
        <v>Valid</v>
      </c>
      <c r="AA129" t="s">
        <v>44</v>
      </c>
      <c r="AB129" t="s">
        <v>64</v>
      </c>
      <c r="AC129" t="str">
        <f t="shared" si="16"/>
        <v>Valid</v>
      </c>
      <c r="AD129" s="4">
        <v>45676</v>
      </c>
      <c r="AE129" s="4" t="str">
        <f t="shared" si="17"/>
        <v>Invalid</v>
      </c>
      <c r="AF129" t="s">
        <v>46</v>
      </c>
    </row>
    <row r="130" spans="1:32" x14ac:dyDescent="0.3">
      <c r="A130" t="s">
        <v>875</v>
      </c>
      <c r="B130" s="4">
        <v>45635</v>
      </c>
      <c r="C130" t="s">
        <v>876</v>
      </c>
      <c r="D130" t="s">
        <v>37</v>
      </c>
      <c r="E130" t="s">
        <v>1395</v>
      </c>
      <c r="F130" t="s">
        <v>57</v>
      </c>
      <c r="G130" t="s">
        <v>877</v>
      </c>
      <c r="H130">
        <v>5999</v>
      </c>
      <c r="I130" t="str">
        <f t="shared" ref="I130:I193" si="18">IF(OR(H130&lt;=0,H130&gt;50000),"Outlier","Normal")</f>
        <v>Normal</v>
      </c>
      <c r="J130">
        <v>1</v>
      </c>
      <c r="K130" t="str">
        <f t="shared" ref="K130:K193" si="19">IF(J130&gt;10,"Outlier","Normal")</f>
        <v>Normal</v>
      </c>
      <c r="L130">
        <v>5999</v>
      </c>
      <c r="M130">
        <f t="shared" ref="M130:M193" si="20">H130*J130*(1-(P130/100))</f>
        <v>5999</v>
      </c>
      <c r="N130" t="str">
        <f t="shared" ref="N130:N193" si="21">IF(ABS(L130-M130)&lt;1,"Match","Mismatch")</f>
        <v>Match</v>
      </c>
      <c r="O130" s="1" t="s">
        <v>1140</v>
      </c>
      <c r="P130">
        <v>0</v>
      </c>
      <c r="Q130" t="str">
        <f t="shared" ref="Q130:Q193" si="22">IF(OR(P130&lt;0,C130&gt;100),"Invalid","valid")</f>
        <v>Invalid</v>
      </c>
      <c r="R130" t="s">
        <v>52</v>
      </c>
      <c r="S130" t="s">
        <v>61</v>
      </c>
      <c r="T130" t="s">
        <v>183</v>
      </c>
      <c r="U130" t="s">
        <v>102</v>
      </c>
      <c r="V130" t="s">
        <v>43</v>
      </c>
      <c r="W130" s="4">
        <v>45650</v>
      </c>
      <c r="X130" s="4" t="str">
        <f t="shared" ref="X130:X193" si="23">IF(AND(B130&lt;&gt;"",W130&lt;&gt;""),IF(B130&lt;D130,"Invalid","Valid"),"Not applicable")</f>
        <v>Invalid</v>
      </c>
      <c r="Y130" t="s">
        <v>32</v>
      </c>
      <c r="Z130" t="str">
        <f t="shared" ref="Z130:Z193" si="24">IF(AND(Y130="Cancelled",W130&lt;&gt;""),"Invalid","Valid")</f>
        <v>Valid</v>
      </c>
      <c r="AA130" t="s">
        <v>44</v>
      </c>
      <c r="AB130" t="s">
        <v>73</v>
      </c>
      <c r="AC130" t="str">
        <f t="shared" ref="AC130:AC193" si="25">IF(AA130="Yes",
   IF(OR(AB130="", AB130="Not Applicable"), "Missing Reason", "Valid"),
   "Not Applicable")</f>
        <v>Valid</v>
      </c>
      <c r="AD130" s="4">
        <v>45677</v>
      </c>
      <c r="AE130" s="4" t="str">
        <f t="shared" ref="AE130:AE193" si="26">IF(AND(W130&lt;&gt;"",AD130&lt;&gt;""),IF(W130&lt;AD130,"Invalid","Valid"),"Not Applicable")</f>
        <v>Invalid</v>
      </c>
      <c r="AF130" t="s">
        <v>46</v>
      </c>
    </row>
    <row r="131" spans="1:32" x14ac:dyDescent="0.3">
      <c r="A131" t="s">
        <v>896</v>
      </c>
      <c r="B131" s="4">
        <v>45636</v>
      </c>
      <c r="C131" t="s">
        <v>897</v>
      </c>
      <c r="D131" t="s">
        <v>25</v>
      </c>
      <c r="E131" t="s">
        <v>1456</v>
      </c>
      <c r="F131" t="s">
        <v>26</v>
      </c>
      <c r="G131" t="s">
        <v>898</v>
      </c>
      <c r="H131">
        <v>1899</v>
      </c>
      <c r="I131" t="str">
        <f t="shared" si="18"/>
        <v>Normal</v>
      </c>
      <c r="J131">
        <v>1</v>
      </c>
      <c r="K131" t="str">
        <f t="shared" si="19"/>
        <v>Normal</v>
      </c>
      <c r="L131">
        <v>1899</v>
      </c>
      <c r="M131">
        <f t="shared" si="20"/>
        <v>1519.2</v>
      </c>
      <c r="N131" t="str">
        <f t="shared" si="21"/>
        <v>Mismatch</v>
      </c>
      <c r="O131" s="1">
        <v>44166</v>
      </c>
      <c r="P131">
        <v>20</v>
      </c>
      <c r="Q131" t="str">
        <f t="shared" si="22"/>
        <v>Invalid</v>
      </c>
      <c r="R131" t="s">
        <v>60</v>
      </c>
      <c r="S131" t="s">
        <v>29</v>
      </c>
      <c r="T131" t="s">
        <v>136</v>
      </c>
      <c r="U131" t="s">
        <v>88</v>
      </c>
      <c r="V131" t="s">
        <v>30</v>
      </c>
      <c r="W131" s="4">
        <v>45652</v>
      </c>
      <c r="X131" s="4" t="str">
        <f t="shared" si="23"/>
        <v>Invalid</v>
      </c>
      <c r="Y131" t="s">
        <v>32</v>
      </c>
      <c r="Z131" t="str">
        <f t="shared" si="24"/>
        <v>Valid</v>
      </c>
      <c r="AA131" t="s">
        <v>44</v>
      </c>
      <c r="AB131" t="s">
        <v>122</v>
      </c>
      <c r="AC131" t="str">
        <f t="shared" si="25"/>
        <v>Valid</v>
      </c>
      <c r="AD131" s="4">
        <v>45678</v>
      </c>
      <c r="AE131" s="4" t="str">
        <f t="shared" si="26"/>
        <v>Invalid</v>
      </c>
      <c r="AF131" t="s">
        <v>46</v>
      </c>
    </row>
    <row r="132" spans="1:32" x14ac:dyDescent="0.3">
      <c r="A132" t="s">
        <v>884</v>
      </c>
      <c r="B132" s="4">
        <v>45636</v>
      </c>
      <c r="C132" t="s">
        <v>885</v>
      </c>
      <c r="D132" t="s">
        <v>25</v>
      </c>
      <c r="E132" t="s">
        <v>1319</v>
      </c>
      <c r="F132" t="s">
        <v>38</v>
      </c>
      <c r="G132" t="s">
        <v>886</v>
      </c>
      <c r="H132">
        <v>3999</v>
      </c>
      <c r="I132" t="str">
        <f t="shared" si="18"/>
        <v>Normal</v>
      </c>
      <c r="J132">
        <v>1</v>
      </c>
      <c r="K132" t="str">
        <f t="shared" si="19"/>
        <v>Normal</v>
      </c>
      <c r="L132">
        <v>3999</v>
      </c>
      <c r="M132">
        <f t="shared" si="20"/>
        <v>3999</v>
      </c>
      <c r="N132" t="str">
        <f t="shared" si="21"/>
        <v>Match</v>
      </c>
      <c r="O132" s="1" t="s">
        <v>1140</v>
      </c>
      <c r="P132">
        <v>0</v>
      </c>
      <c r="Q132" t="str">
        <f t="shared" si="22"/>
        <v>Invalid</v>
      </c>
      <c r="R132" t="s">
        <v>41</v>
      </c>
      <c r="S132" t="s">
        <v>61</v>
      </c>
      <c r="T132" t="s">
        <v>106</v>
      </c>
      <c r="U132" t="s">
        <v>107</v>
      </c>
      <c r="V132" t="s">
        <v>43</v>
      </c>
      <c r="W132" s="4">
        <v>45651</v>
      </c>
      <c r="X132" s="4" t="str">
        <f t="shared" si="23"/>
        <v>Invalid</v>
      </c>
      <c r="Y132" t="s">
        <v>32</v>
      </c>
      <c r="Z132" t="str">
        <f t="shared" si="24"/>
        <v>Valid</v>
      </c>
      <c r="AA132" t="s">
        <v>44</v>
      </c>
      <c r="AB132" t="s">
        <v>45</v>
      </c>
      <c r="AC132" t="str">
        <f t="shared" si="25"/>
        <v>Valid</v>
      </c>
      <c r="AD132" s="4">
        <v>45679</v>
      </c>
      <c r="AE132" s="4" t="str">
        <f t="shared" si="26"/>
        <v>Invalid</v>
      </c>
      <c r="AF132" t="s">
        <v>46</v>
      </c>
    </row>
    <row r="133" spans="1:32" x14ac:dyDescent="0.3">
      <c r="A133" t="s">
        <v>890</v>
      </c>
      <c r="B133" s="4">
        <v>45636</v>
      </c>
      <c r="C133" t="s">
        <v>891</v>
      </c>
      <c r="D133" t="s">
        <v>37</v>
      </c>
      <c r="E133" t="s">
        <v>1378</v>
      </c>
      <c r="F133" t="s">
        <v>57</v>
      </c>
      <c r="G133" t="s">
        <v>892</v>
      </c>
      <c r="H133">
        <v>4899</v>
      </c>
      <c r="I133" t="str">
        <f t="shared" si="18"/>
        <v>Normal</v>
      </c>
      <c r="J133">
        <v>1</v>
      </c>
      <c r="K133" t="str">
        <f t="shared" si="19"/>
        <v>Normal</v>
      </c>
      <c r="L133">
        <v>4899</v>
      </c>
      <c r="M133">
        <f t="shared" si="20"/>
        <v>4899</v>
      </c>
      <c r="N133" t="str">
        <f t="shared" si="21"/>
        <v>Match</v>
      </c>
      <c r="O133" s="1" t="s">
        <v>1140</v>
      </c>
      <c r="P133">
        <v>0</v>
      </c>
      <c r="Q133" t="str">
        <f t="shared" si="22"/>
        <v>Invalid</v>
      </c>
      <c r="R133" t="s">
        <v>52</v>
      </c>
      <c r="S133" t="s">
        <v>42</v>
      </c>
      <c r="T133" t="s">
        <v>126</v>
      </c>
      <c r="U133" t="s">
        <v>127</v>
      </c>
      <c r="V133" t="s">
        <v>43</v>
      </c>
      <c r="W133" s="4">
        <v>45652</v>
      </c>
      <c r="X133" s="4" t="str">
        <f t="shared" si="23"/>
        <v>Invalid</v>
      </c>
      <c r="Y133" t="s">
        <v>32</v>
      </c>
      <c r="Z133" t="str">
        <f t="shared" si="24"/>
        <v>Valid</v>
      </c>
      <c r="AA133" t="s">
        <v>44</v>
      </c>
      <c r="AB133" t="s">
        <v>94</v>
      </c>
      <c r="AC133" t="str">
        <f t="shared" si="25"/>
        <v>Valid</v>
      </c>
      <c r="AD133" s="4">
        <v>45680</v>
      </c>
      <c r="AE133" s="4" t="str">
        <f t="shared" si="26"/>
        <v>Invalid</v>
      </c>
      <c r="AF133" t="s">
        <v>46</v>
      </c>
    </row>
    <row r="134" spans="1:32" x14ac:dyDescent="0.3">
      <c r="A134" t="s">
        <v>911</v>
      </c>
      <c r="B134" s="4">
        <v>45638</v>
      </c>
      <c r="C134" t="s">
        <v>912</v>
      </c>
      <c r="D134" t="s">
        <v>25</v>
      </c>
      <c r="E134" t="s">
        <v>1417</v>
      </c>
      <c r="F134" t="s">
        <v>26</v>
      </c>
      <c r="G134" t="s">
        <v>913</v>
      </c>
      <c r="H134">
        <v>2199</v>
      </c>
      <c r="I134" t="str">
        <f t="shared" si="18"/>
        <v>Normal</v>
      </c>
      <c r="J134">
        <v>1</v>
      </c>
      <c r="K134" t="str">
        <f t="shared" si="19"/>
        <v>Normal</v>
      </c>
      <c r="L134">
        <v>2199</v>
      </c>
      <c r="M134">
        <f t="shared" si="20"/>
        <v>2199</v>
      </c>
      <c r="N134" t="str">
        <f t="shared" si="21"/>
        <v>Match</v>
      </c>
      <c r="O134" s="1" t="s">
        <v>1140</v>
      </c>
      <c r="P134">
        <v>0</v>
      </c>
      <c r="Q134" t="str">
        <f t="shared" si="22"/>
        <v>Invalid</v>
      </c>
      <c r="R134" t="s">
        <v>60</v>
      </c>
      <c r="S134" t="s">
        <v>61</v>
      </c>
      <c r="T134" t="s">
        <v>157</v>
      </c>
      <c r="U134" t="s">
        <v>158</v>
      </c>
      <c r="V134" t="s">
        <v>53</v>
      </c>
      <c r="W134" s="4">
        <v>45654</v>
      </c>
      <c r="X134" s="4" t="str">
        <f t="shared" si="23"/>
        <v>Invalid</v>
      </c>
      <c r="Y134" t="s">
        <v>32</v>
      </c>
      <c r="Z134" t="str">
        <f t="shared" si="24"/>
        <v>Valid</v>
      </c>
      <c r="AA134" t="s">
        <v>44</v>
      </c>
      <c r="AB134" t="s">
        <v>64</v>
      </c>
      <c r="AC134" t="str">
        <f t="shared" si="25"/>
        <v>Valid</v>
      </c>
      <c r="AD134" s="4">
        <v>45680</v>
      </c>
      <c r="AE134" s="4" t="str">
        <f t="shared" si="26"/>
        <v>Invalid</v>
      </c>
      <c r="AF134" t="s">
        <v>46</v>
      </c>
    </row>
    <row r="135" spans="1:32" x14ac:dyDescent="0.3">
      <c r="A135" t="s">
        <v>902</v>
      </c>
      <c r="B135" s="4">
        <v>45637</v>
      </c>
      <c r="C135" t="s">
        <v>903</v>
      </c>
      <c r="D135" t="s">
        <v>25</v>
      </c>
      <c r="E135" t="s">
        <v>1211</v>
      </c>
      <c r="F135" t="s">
        <v>50</v>
      </c>
      <c r="G135" t="s">
        <v>904</v>
      </c>
      <c r="H135">
        <v>2699</v>
      </c>
      <c r="I135" t="str">
        <f t="shared" si="18"/>
        <v>Normal</v>
      </c>
      <c r="J135">
        <v>1</v>
      </c>
      <c r="K135" t="str">
        <f t="shared" si="19"/>
        <v>Normal</v>
      </c>
      <c r="L135">
        <v>2699</v>
      </c>
      <c r="M135">
        <f t="shared" si="20"/>
        <v>2699</v>
      </c>
      <c r="N135" t="str">
        <f t="shared" si="21"/>
        <v>Match</v>
      </c>
      <c r="O135" s="1" t="s">
        <v>1140</v>
      </c>
      <c r="P135">
        <v>0</v>
      </c>
      <c r="Q135" t="str">
        <f t="shared" si="22"/>
        <v>Invalid</v>
      </c>
      <c r="R135" t="s">
        <v>28</v>
      </c>
      <c r="S135" t="s">
        <v>61</v>
      </c>
      <c r="T135" t="s">
        <v>145</v>
      </c>
      <c r="U135" t="s">
        <v>132</v>
      </c>
      <c r="V135" t="s">
        <v>30</v>
      </c>
      <c r="W135" s="4">
        <v>45653</v>
      </c>
      <c r="X135" s="4" t="str">
        <f t="shared" si="23"/>
        <v>Invalid</v>
      </c>
      <c r="Y135" t="s">
        <v>32</v>
      </c>
      <c r="Z135" t="str">
        <f t="shared" si="24"/>
        <v>Valid</v>
      </c>
      <c r="AA135" t="s">
        <v>44</v>
      </c>
      <c r="AB135" t="s">
        <v>45</v>
      </c>
      <c r="AC135" t="str">
        <f t="shared" si="25"/>
        <v>Valid</v>
      </c>
      <c r="AD135" s="4">
        <v>45681</v>
      </c>
      <c r="AE135" s="4" t="str">
        <f t="shared" si="26"/>
        <v>Invalid</v>
      </c>
      <c r="AF135" t="s">
        <v>46</v>
      </c>
    </row>
    <row r="136" spans="1:32" x14ac:dyDescent="0.3">
      <c r="A136" t="s">
        <v>905</v>
      </c>
      <c r="B136" s="4">
        <v>45637</v>
      </c>
      <c r="C136" t="s">
        <v>906</v>
      </c>
      <c r="D136" t="s">
        <v>37</v>
      </c>
      <c r="E136" t="s">
        <v>1389</v>
      </c>
      <c r="F136" t="s">
        <v>57</v>
      </c>
      <c r="G136" t="s">
        <v>907</v>
      </c>
      <c r="H136">
        <v>5599</v>
      </c>
      <c r="I136" t="str">
        <f t="shared" si="18"/>
        <v>Normal</v>
      </c>
      <c r="J136">
        <v>1</v>
      </c>
      <c r="K136" t="str">
        <f t="shared" si="19"/>
        <v>Normal</v>
      </c>
      <c r="L136">
        <v>5599</v>
      </c>
      <c r="M136">
        <f t="shared" si="20"/>
        <v>4479.2</v>
      </c>
      <c r="N136" t="str">
        <f t="shared" si="21"/>
        <v>Mismatch</v>
      </c>
      <c r="O136" s="1">
        <v>44166</v>
      </c>
      <c r="P136">
        <v>20</v>
      </c>
      <c r="Q136" t="str">
        <f t="shared" si="22"/>
        <v>Invalid</v>
      </c>
      <c r="R136" t="s">
        <v>52</v>
      </c>
      <c r="S136" t="s">
        <v>29</v>
      </c>
      <c r="T136" t="s">
        <v>149</v>
      </c>
      <c r="U136" t="s">
        <v>31</v>
      </c>
      <c r="V136" t="s">
        <v>30</v>
      </c>
      <c r="W136" s="4">
        <v>45654</v>
      </c>
      <c r="X136" s="4" t="str">
        <f t="shared" si="23"/>
        <v>Invalid</v>
      </c>
      <c r="Y136" t="s">
        <v>32</v>
      </c>
      <c r="Z136" t="str">
        <f t="shared" si="24"/>
        <v>Valid</v>
      </c>
      <c r="AA136" t="s">
        <v>44</v>
      </c>
      <c r="AB136" t="s">
        <v>73</v>
      </c>
      <c r="AC136" t="str">
        <f t="shared" si="25"/>
        <v>Valid</v>
      </c>
      <c r="AD136" s="4">
        <v>45682</v>
      </c>
      <c r="AE136" s="4" t="str">
        <f t="shared" si="26"/>
        <v>Invalid</v>
      </c>
      <c r="AF136" t="s">
        <v>46</v>
      </c>
    </row>
    <row r="137" spans="1:32" x14ac:dyDescent="0.3">
      <c r="A137" t="s">
        <v>917</v>
      </c>
      <c r="B137" s="4">
        <v>45638</v>
      </c>
      <c r="C137" t="s">
        <v>918</v>
      </c>
      <c r="D137" t="s">
        <v>25</v>
      </c>
      <c r="E137" t="s">
        <v>1248</v>
      </c>
      <c r="F137" t="s">
        <v>50</v>
      </c>
      <c r="G137" t="s">
        <v>919</v>
      </c>
      <c r="H137">
        <v>2399</v>
      </c>
      <c r="I137" t="str">
        <f t="shared" si="18"/>
        <v>Normal</v>
      </c>
      <c r="J137">
        <v>1</v>
      </c>
      <c r="K137" t="str">
        <f t="shared" si="19"/>
        <v>Normal</v>
      </c>
      <c r="L137">
        <v>2399</v>
      </c>
      <c r="M137">
        <f t="shared" si="20"/>
        <v>2399</v>
      </c>
      <c r="N137" t="str">
        <f t="shared" si="21"/>
        <v>Match</v>
      </c>
      <c r="O137" s="1" t="s">
        <v>1140</v>
      </c>
      <c r="P137">
        <v>0</v>
      </c>
      <c r="Q137" t="str">
        <f t="shared" si="22"/>
        <v>Invalid</v>
      </c>
      <c r="R137" t="s">
        <v>28</v>
      </c>
      <c r="S137" t="s">
        <v>42</v>
      </c>
      <c r="T137" t="s">
        <v>167</v>
      </c>
      <c r="U137" t="s">
        <v>158</v>
      </c>
      <c r="V137" t="s">
        <v>53</v>
      </c>
      <c r="W137" s="4">
        <v>45655</v>
      </c>
      <c r="X137" s="4" t="str">
        <f t="shared" si="23"/>
        <v>Invalid</v>
      </c>
      <c r="Y137" t="s">
        <v>32</v>
      </c>
      <c r="Z137" t="str">
        <f t="shared" si="24"/>
        <v>Valid</v>
      </c>
      <c r="AA137" t="s">
        <v>44</v>
      </c>
      <c r="AB137" t="s">
        <v>94</v>
      </c>
      <c r="AC137" t="str">
        <f t="shared" si="25"/>
        <v>Valid</v>
      </c>
      <c r="AD137" s="4">
        <v>45683</v>
      </c>
      <c r="AE137" s="4" t="str">
        <f t="shared" si="26"/>
        <v>Invalid</v>
      </c>
      <c r="AF137" t="s">
        <v>46</v>
      </c>
    </row>
    <row r="138" spans="1:32" x14ac:dyDescent="0.3">
      <c r="A138" t="s">
        <v>938</v>
      </c>
      <c r="B138" s="4">
        <v>45640</v>
      </c>
      <c r="C138" t="s">
        <v>939</v>
      </c>
      <c r="D138" t="s">
        <v>25</v>
      </c>
      <c r="E138" t="s">
        <v>1146</v>
      </c>
      <c r="F138" t="s">
        <v>66</v>
      </c>
      <c r="G138" t="s">
        <v>940</v>
      </c>
      <c r="H138">
        <v>1699</v>
      </c>
      <c r="I138" t="str">
        <f t="shared" si="18"/>
        <v>Normal</v>
      </c>
      <c r="J138">
        <v>1</v>
      </c>
      <c r="K138" t="str">
        <f t="shared" si="19"/>
        <v>Normal</v>
      </c>
      <c r="L138">
        <v>1699</v>
      </c>
      <c r="M138">
        <f t="shared" si="20"/>
        <v>1699</v>
      </c>
      <c r="N138" t="str">
        <f t="shared" si="21"/>
        <v>Match</v>
      </c>
      <c r="O138" s="1" t="s">
        <v>1140</v>
      </c>
      <c r="P138">
        <v>0</v>
      </c>
      <c r="Q138" t="str">
        <f t="shared" si="22"/>
        <v>Invalid</v>
      </c>
      <c r="R138" t="s">
        <v>100</v>
      </c>
      <c r="S138" t="s">
        <v>61</v>
      </c>
      <c r="T138" t="s">
        <v>82</v>
      </c>
      <c r="U138" t="s">
        <v>83</v>
      </c>
      <c r="V138" t="s">
        <v>43</v>
      </c>
      <c r="W138" s="4">
        <v>45656</v>
      </c>
      <c r="X138" s="4" t="str">
        <f t="shared" si="23"/>
        <v>Invalid</v>
      </c>
      <c r="Y138" t="s">
        <v>32</v>
      </c>
      <c r="Z138" t="str">
        <f t="shared" si="24"/>
        <v>Valid</v>
      </c>
      <c r="AA138" t="s">
        <v>44</v>
      </c>
      <c r="AB138" t="s">
        <v>64</v>
      </c>
      <c r="AC138" t="str">
        <f t="shared" si="25"/>
        <v>Valid</v>
      </c>
      <c r="AD138" s="4">
        <v>45683</v>
      </c>
      <c r="AE138" s="4" t="str">
        <f t="shared" si="26"/>
        <v>Invalid</v>
      </c>
      <c r="AF138" t="s">
        <v>46</v>
      </c>
    </row>
    <row r="139" spans="1:32" x14ac:dyDescent="0.3">
      <c r="A139" t="s">
        <v>926</v>
      </c>
      <c r="B139" s="4">
        <v>45639</v>
      </c>
      <c r="C139" t="s">
        <v>927</v>
      </c>
      <c r="D139" t="s">
        <v>25</v>
      </c>
      <c r="E139" t="s">
        <v>1431</v>
      </c>
      <c r="F139" t="s">
        <v>26</v>
      </c>
      <c r="G139" t="s">
        <v>928</v>
      </c>
      <c r="H139">
        <v>2399</v>
      </c>
      <c r="I139" t="str">
        <f t="shared" si="18"/>
        <v>Normal</v>
      </c>
      <c r="J139">
        <v>1</v>
      </c>
      <c r="K139" t="str">
        <f t="shared" si="19"/>
        <v>Normal</v>
      </c>
      <c r="L139">
        <v>2399</v>
      </c>
      <c r="M139">
        <f t="shared" si="20"/>
        <v>2399</v>
      </c>
      <c r="N139" t="str">
        <f t="shared" si="21"/>
        <v>Match</v>
      </c>
      <c r="O139" s="1" t="s">
        <v>1140</v>
      </c>
      <c r="P139">
        <v>0</v>
      </c>
      <c r="Q139" t="str">
        <f t="shared" si="22"/>
        <v>Invalid</v>
      </c>
      <c r="R139" t="s">
        <v>60</v>
      </c>
      <c r="S139" t="s">
        <v>42</v>
      </c>
      <c r="T139" t="s">
        <v>179</v>
      </c>
      <c r="U139" t="s">
        <v>88</v>
      </c>
      <c r="V139" t="s">
        <v>30</v>
      </c>
      <c r="W139" s="4">
        <v>45656</v>
      </c>
      <c r="X139" s="4" t="str">
        <f t="shared" si="23"/>
        <v>Invalid</v>
      </c>
      <c r="Y139" t="s">
        <v>32</v>
      </c>
      <c r="Z139" t="str">
        <f t="shared" si="24"/>
        <v>Valid</v>
      </c>
      <c r="AA139" t="s">
        <v>44</v>
      </c>
      <c r="AB139" t="s">
        <v>45</v>
      </c>
      <c r="AC139" t="str">
        <f t="shared" si="25"/>
        <v>Valid</v>
      </c>
      <c r="AD139" s="4">
        <v>45684</v>
      </c>
      <c r="AE139" s="4" t="str">
        <f t="shared" si="26"/>
        <v>Invalid</v>
      </c>
      <c r="AF139" t="s">
        <v>46</v>
      </c>
    </row>
    <row r="140" spans="1:32" x14ac:dyDescent="0.3">
      <c r="A140" t="s">
        <v>929</v>
      </c>
      <c r="B140" s="4">
        <v>45639</v>
      </c>
      <c r="C140" t="s">
        <v>930</v>
      </c>
      <c r="D140" t="s">
        <v>25</v>
      </c>
      <c r="E140" t="s">
        <v>1298</v>
      </c>
      <c r="F140" t="s">
        <v>38</v>
      </c>
      <c r="G140" t="s">
        <v>931</v>
      </c>
      <c r="H140">
        <v>5999</v>
      </c>
      <c r="I140" t="str">
        <f t="shared" si="18"/>
        <v>Normal</v>
      </c>
      <c r="J140">
        <v>1</v>
      </c>
      <c r="K140" t="str">
        <f t="shared" si="19"/>
        <v>Normal</v>
      </c>
      <c r="L140">
        <v>5999</v>
      </c>
      <c r="M140">
        <f t="shared" si="20"/>
        <v>5999</v>
      </c>
      <c r="N140" t="str">
        <f t="shared" si="21"/>
        <v>Match</v>
      </c>
      <c r="O140" s="1" t="s">
        <v>1140</v>
      </c>
      <c r="P140">
        <v>0</v>
      </c>
      <c r="Q140" t="str">
        <f t="shared" si="22"/>
        <v>Invalid</v>
      </c>
      <c r="R140" t="s">
        <v>41</v>
      </c>
      <c r="S140" t="s">
        <v>61</v>
      </c>
      <c r="T140" t="s">
        <v>183</v>
      </c>
      <c r="U140" t="s">
        <v>102</v>
      </c>
      <c r="V140" t="s">
        <v>43</v>
      </c>
      <c r="W140" s="4">
        <v>45657</v>
      </c>
      <c r="X140" s="4" t="str">
        <f t="shared" si="23"/>
        <v>Invalid</v>
      </c>
      <c r="Y140" t="s">
        <v>32</v>
      </c>
      <c r="Z140" t="str">
        <f t="shared" si="24"/>
        <v>Valid</v>
      </c>
      <c r="AA140" t="s">
        <v>44</v>
      </c>
      <c r="AB140" t="s">
        <v>122</v>
      </c>
      <c r="AC140" t="str">
        <f t="shared" si="25"/>
        <v>Valid</v>
      </c>
      <c r="AD140" s="4">
        <v>45685</v>
      </c>
      <c r="AE140" s="4" t="str">
        <f t="shared" si="26"/>
        <v>Invalid</v>
      </c>
      <c r="AF140" t="s">
        <v>46</v>
      </c>
    </row>
    <row r="141" spans="1:32" x14ac:dyDescent="0.3">
      <c r="A141" t="s">
        <v>935</v>
      </c>
      <c r="B141" s="4">
        <v>45640</v>
      </c>
      <c r="C141" t="s">
        <v>936</v>
      </c>
      <c r="D141" t="s">
        <v>37</v>
      </c>
      <c r="E141" t="s">
        <v>1351</v>
      </c>
      <c r="F141" t="s">
        <v>57</v>
      </c>
      <c r="G141" t="s">
        <v>937</v>
      </c>
      <c r="H141">
        <v>4999</v>
      </c>
      <c r="I141" t="str">
        <f t="shared" si="18"/>
        <v>Normal</v>
      </c>
      <c r="J141">
        <v>1</v>
      </c>
      <c r="K141" t="str">
        <f t="shared" si="19"/>
        <v>Normal</v>
      </c>
      <c r="L141">
        <v>4999</v>
      </c>
      <c r="M141">
        <f t="shared" si="20"/>
        <v>4999</v>
      </c>
      <c r="N141" t="str">
        <f t="shared" si="21"/>
        <v>Match</v>
      </c>
      <c r="O141" s="1" t="s">
        <v>1140</v>
      </c>
      <c r="P141">
        <v>0</v>
      </c>
      <c r="Q141" t="str">
        <f t="shared" si="22"/>
        <v>Invalid</v>
      </c>
      <c r="R141" t="s">
        <v>52</v>
      </c>
      <c r="S141" t="s">
        <v>42</v>
      </c>
      <c r="T141" t="s">
        <v>43</v>
      </c>
      <c r="U141" t="s">
        <v>43</v>
      </c>
      <c r="V141" t="s">
        <v>43</v>
      </c>
      <c r="W141" s="4">
        <v>45657</v>
      </c>
      <c r="X141" s="4" t="str">
        <f t="shared" si="23"/>
        <v>Invalid</v>
      </c>
      <c r="Y141" t="s">
        <v>32</v>
      </c>
      <c r="Z141" t="str">
        <f t="shared" si="24"/>
        <v>Valid</v>
      </c>
      <c r="AA141" t="s">
        <v>44</v>
      </c>
      <c r="AB141" t="s">
        <v>73</v>
      </c>
      <c r="AC141" t="str">
        <f t="shared" si="25"/>
        <v>Valid</v>
      </c>
      <c r="AD141" s="4">
        <v>45686</v>
      </c>
      <c r="AE141" s="4" t="str">
        <f t="shared" si="26"/>
        <v>Invalid</v>
      </c>
      <c r="AF141" t="s">
        <v>46</v>
      </c>
    </row>
    <row r="142" spans="1:32" x14ac:dyDescent="0.3">
      <c r="A142" t="s">
        <v>944</v>
      </c>
      <c r="B142" s="4">
        <v>45640</v>
      </c>
      <c r="C142" t="s">
        <v>945</v>
      </c>
      <c r="D142" t="s">
        <v>25</v>
      </c>
      <c r="E142" t="s">
        <v>1293</v>
      </c>
      <c r="F142" t="s">
        <v>38</v>
      </c>
      <c r="G142" t="s">
        <v>946</v>
      </c>
      <c r="H142">
        <v>4599</v>
      </c>
      <c r="I142" t="str">
        <f t="shared" si="18"/>
        <v>Normal</v>
      </c>
      <c r="J142">
        <v>1</v>
      </c>
      <c r="K142" t="str">
        <f t="shared" si="19"/>
        <v>Normal</v>
      </c>
      <c r="L142">
        <v>4599</v>
      </c>
      <c r="M142">
        <f t="shared" si="20"/>
        <v>4599</v>
      </c>
      <c r="N142" t="str">
        <f t="shared" si="21"/>
        <v>Match</v>
      </c>
      <c r="O142" s="1" t="s">
        <v>1140</v>
      </c>
      <c r="P142">
        <v>0</v>
      </c>
      <c r="Q142" t="str">
        <f t="shared" si="22"/>
        <v>Invalid</v>
      </c>
      <c r="R142" t="s">
        <v>41</v>
      </c>
      <c r="S142" t="s">
        <v>42</v>
      </c>
      <c r="T142" t="s">
        <v>71</v>
      </c>
      <c r="U142" t="s">
        <v>72</v>
      </c>
      <c r="V142" t="s">
        <v>53</v>
      </c>
      <c r="W142" s="4">
        <v>45659</v>
      </c>
      <c r="X142" s="4" t="str">
        <f t="shared" si="23"/>
        <v>Invalid</v>
      </c>
      <c r="Y142" t="s">
        <v>32</v>
      </c>
      <c r="Z142" t="str">
        <f t="shared" si="24"/>
        <v>Valid</v>
      </c>
      <c r="AA142" t="s">
        <v>44</v>
      </c>
      <c r="AB142" t="s">
        <v>45</v>
      </c>
      <c r="AC142" t="str">
        <f t="shared" si="25"/>
        <v>Valid</v>
      </c>
      <c r="AD142" s="4">
        <v>45687</v>
      </c>
      <c r="AE142" s="4" t="str">
        <f t="shared" si="26"/>
        <v>Invalid</v>
      </c>
      <c r="AF142" t="s">
        <v>46</v>
      </c>
    </row>
    <row r="143" spans="1:32" x14ac:dyDescent="0.3">
      <c r="A143" t="s">
        <v>956</v>
      </c>
      <c r="B143" s="4">
        <v>45641</v>
      </c>
      <c r="C143" t="s">
        <v>957</v>
      </c>
      <c r="D143" t="s">
        <v>25</v>
      </c>
      <c r="E143" t="s">
        <v>1442</v>
      </c>
      <c r="F143" t="s">
        <v>26</v>
      </c>
      <c r="G143" t="s">
        <v>958</v>
      </c>
      <c r="H143">
        <v>1999</v>
      </c>
      <c r="I143" t="str">
        <f t="shared" si="18"/>
        <v>Normal</v>
      </c>
      <c r="J143">
        <v>1</v>
      </c>
      <c r="K143" t="str">
        <f t="shared" si="19"/>
        <v>Normal</v>
      </c>
      <c r="L143">
        <v>1999</v>
      </c>
      <c r="M143">
        <f t="shared" si="20"/>
        <v>1999</v>
      </c>
      <c r="N143" t="str">
        <f t="shared" si="21"/>
        <v>Match</v>
      </c>
      <c r="O143" s="1" t="s">
        <v>1140</v>
      </c>
      <c r="P143">
        <v>0</v>
      </c>
      <c r="Q143" t="str">
        <f t="shared" si="22"/>
        <v>Invalid</v>
      </c>
      <c r="R143" t="s">
        <v>60</v>
      </c>
      <c r="S143" t="s">
        <v>61</v>
      </c>
      <c r="T143" t="s">
        <v>101</v>
      </c>
      <c r="U143" t="s">
        <v>102</v>
      </c>
      <c r="V143" t="s">
        <v>43</v>
      </c>
      <c r="W143" s="4">
        <v>45660</v>
      </c>
      <c r="X143" s="4" t="str">
        <f t="shared" si="23"/>
        <v>Invalid</v>
      </c>
      <c r="Y143" t="s">
        <v>32</v>
      </c>
      <c r="Z143" t="str">
        <f t="shared" si="24"/>
        <v>Valid</v>
      </c>
      <c r="AA143" t="s">
        <v>44</v>
      </c>
      <c r="AB143" t="s">
        <v>122</v>
      </c>
      <c r="AC143" t="str">
        <f t="shared" si="25"/>
        <v>Valid</v>
      </c>
      <c r="AD143" s="4">
        <v>45687</v>
      </c>
      <c r="AE143" s="4" t="str">
        <f t="shared" si="26"/>
        <v>Invalid</v>
      </c>
      <c r="AF143" t="s">
        <v>46</v>
      </c>
    </row>
    <row r="144" spans="1:32" x14ac:dyDescent="0.3">
      <c r="A144" t="s">
        <v>950</v>
      </c>
      <c r="B144" s="4">
        <v>45641</v>
      </c>
      <c r="C144" t="s">
        <v>951</v>
      </c>
      <c r="D144" t="s">
        <v>37</v>
      </c>
      <c r="E144" t="s">
        <v>1382</v>
      </c>
      <c r="F144" t="s">
        <v>57</v>
      </c>
      <c r="G144" t="s">
        <v>952</v>
      </c>
      <c r="H144">
        <v>5799</v>
      </c>
      <c r="I144" t="str">
        <f t="shared" si="18"/>
        <v>Normal</v>
      </c>
      <c r="J144">
        <v>1</v>
      </c>
      <c r="K144" t="str">
        <f t="shared" si="19"/>
        <v>Normal</v>
      </c>
      <c r="L144">
        <v>5799</v>
      </c>
      <c r="M144">
        <f t="shared" si="20"/>
        <v>4639.2</v>
      </c>
      <c r="N144" t="str">
        <f t="shared" si="21"/>
        <v>Mismatch</v>
      </c>
      <c r="O144" s="1">
        <v>44166</v>
      </c>
      <c r="P144">
        <v>20</v>
      </c>
      <c r="Q144" t="str">
        <f t="shared" si="22"/>
        <v>Invalid</v>
      </c>
      <c r="R144" t="s">
        <v>52</v>
      </c>
      <c r="S144" t="s">
        <v>29</v>
      </c>
      <c r="T144" t="s">
        <v>87</v>
      </c>
      <c r="U144" t="s">
        <v>88</v>
      </c>
      <c r="V144" t="s">
        <v>30</v>
      </c>
      <c r="W144" s="4">
        <v>45660</v>
      </c>
      <c r="X144" s="4" t="str">
        <f t="shared" si="23"/>
        <v>Invalid</v>
      </c>
      <c r="Y144" t="s">
        <v>32</v>
      </c>
      <c r="Z144" t="str">
        <f t="shared" si="24"/>
        <v>Valid</v>
      </c>
      <c r="AA144" t="s">
        <v>44</v>
      </c>
      <c r="AB144" t="s">
        <v>94</v>
      </c>
      <c r="AC144" t="str">
        <f t="shared" si="25"/>
        <v>Valid</v>
      </c>
      <c r="AD144" s="4">
        <v>45688</v>
      </c>
      <c r="AE144" s="4" t="str">
        <f t="shared" si="26"/>
        <v>Invalid</v>
      </c>
      <c r="AF144" t="s">
        <v>46</v>
      </c>
    </row>
    <row r="145" spans="1:32" x14ac:dyDescent="0.3">
      <c r="A145" t="s">
        <v>959</v>
      </c>
      <c r="B145" s="4">
        <v>45642</v>
      </c>
      <c r="C145" t="s">
        <v>960</v>
      </c>
      <c r="D145" t="s">
        <v>25</v>
      </c>
      <c r="E145" t="s">
        <v>1280</v>
      </c>
      <c r="F145" t="s">
        <v>38</v>
      </c>
      <c r="G145" t="s">
        <v>961</v>
      </c>
      <c r="H145">
        <v>3899</v>
      </c>
      <c r="I145" t="str">
        <f t="shared" si="18"/>
        <v>Normal</v>
      </c>
      <c r="J145">
        <v>1</v>
      </c>
      <c r="K145" t="str">
        <f t="shared" si="19"/>
        <v>Normal</v>
      </c>
      <c r="L145">
        <v>3899</v>
      </c>
      <c r="M145">
        <f t="shared" si="20"/>
        <v>3119.2000000000003</v>
      </c>
      <c r="N145" t="str">
        <f t="shared" si="21"/>
        <v>Mismatch</v>
      </c>
      <c r="O145" s="1">
        <v>44166</v>
      </c>
      <c r="P145">
        <v>20</v>
      </c>
      <c r="Q145" t="str">
        <f t="shared" si="22"/>
        <v>Invalid</v>
      </c>
      <c r="R145" t="s">
        <v>41</v>
      </c>
      <c r="S145" t="s">
        <v>29</v>
      </c>
      <c r="T145" t="s">
        <v>53</v>
      </c>
      <c r="U145" t="s">
        <v>54</v>
      </c>
      <c r="V145" t="s">
        <v>53</v>
      </c>
      <c r="W145" s="4">
        <v>45661</v>
      </c>
      <c r="X145" s="4" t="str">
        <f t="shared" si="23"/>
        <v>Invalid</v>
      </c>
      <c r="Y145" t="s">
        <v>32</v>
      </c>
      <c r="Z145" t="str">
        <f t="shared" si="24"/>
        <v>Valid</v>
      </c>
      <c r="AA145" t="s">
        <v>44</v>
      </c>
      <c r="AB145" t="s">
        <v>45</v>
      </c>
      <c r="AC145" t="str">
        <f t="shared" si="25"/>
        <v>Valid</v>
      </c>
      <c r="AD145" s="4">
        <v>45689</v>
      </c>
      <c r="AE145" s="4" t="str">
        <f t="shared" si="26"/>
        <v>Invalid</v>
      </c>
      <c r="AF145" t="s">
        <v>46</v>
      </c>
    </row>
    <row r="146" spans="1:32" x14ac:dyDescent="0.3">
      <c r="A146" t="s">
        <v>971</v>
      </c>
      <c r="B146" s="4">
        <v>45643</v>
      </c>
      <c r="C146" t="s">
        <v>972</v>
      </c>
      <c r="D146" t="s">
        <v>25</v>
      </c>
      <c r="E146" t="s">
        <v>1452</v>
      </c>
      <c r="F146" t="s">
        <v>26</v>
      </c>
      <c r="G146" t="s">
        <v>973</v>
      </c>
      <c r="H146">
        <v>1799</v>
      </c>
      <c r="I146" t="str">
        <f t="shared" si="18"/>
        <v>Normal</v>
      </c>
      <c r="J146">
        <v>1</v>
      </c>
      <c r="K146" t="str">
        <f t="shared" si="19"/>
        <v>Normal</v>
      </c>
      <c r="L146">
        <v>1799</v>
      </c>
      <c r="M146">
        <f t="shared" si="20"/>
        <v>1799</v>
      </c>
      <c r="N146" t="str">
        <f t="shared" si="21"/>
        <v>Match</v>
      </c>
      <c r="O146" s="1" t="s">
        <v>1140</v>
      </c>
      <c r="P146">
        <v>0</v>
      </c>
      <c r="Q146" t="str">
        <f t="shared" si="22"/>
        <v>Invalid</v>
      </c>
      <c r="R146" t="s">
        <v>60</v>
      </c>
      <c r="S146" t="s">
        <v>42</v>
      </c>
      <c r="T146" t="s">
        <v>121</v>
      </c>
      <c r="U146" t="s">
        <v>102</v>
      </c>
      <c r="V146" t="s">
        <v>43</v>
      </c>
      <c r="W146" s="4">
        <v>45662</v>
      </c>
      <c r="X146" s="4" t="str">
        <f t="shared" si="23"/>
        <v>Invalid</v>
      </c>
      <c r="Y146" t="s">
        <v>32</v>
      </c>
      <c r="Z146" t="str">
        <f t="shared" si="24"/>
        <v>Valid</v>
      </c>
      <c r="AA146" t="s">
        <v>44</v>
      </c>
      <c r="AB146" t="s">
        <v>64</v>
      </c>
      <c r="AC146" t="str">
        <f t="shared" si="25"/>
        <v>Valid</v>
      </c>
      <c r="AD146" s="4">
        <v>45689</v>
      </c>
      <c r="AE146" s="4" t="str">
        <f t="shared" si="26"/>
        <v>Invalid</v>
      </c>
      <c r="AF146" t="s">
        <v>46</v>
      </c>
    </row>
    <row r="147" spans="1:32" x14ac:dyDescent="0.3">
      <c r="A147" t="s">
        <v>965</v>
      </c>
      <c r="B147" s="4">
        <v>45642</v>
      </c>
      <c r="C147" t="s">
        <v>966</v>
      </c>
      <c r="D147" t="s">
        <v>25</v>
      </c>
      <c r="E147" t="s">
        <v>1352</v>
      </c>
      <c r="F147" t="s">
        <v>57</v>
      </c>
      <c r="G147" t="s">
        <v>967</v>
      </c>
      <c r="H147">
        <v>5299</v>
      </c>
      <c r="I147" t="str">
        <f t="shared" si="18"/>
        <v>Normal</v>
      </c>
      <c r="J147">
        <v>1</v>
      </c>
      <c r="K147" t="str">
        <f t="shared" si="19"/>
        <v>Normal</v>
      </c>
      <c r="L147">
        <v>5299</v>
      </c>
      <c r="M147">
        <f t="shared" si="20"/>
        <v>5299</v>
      </c>
      <c r="N147" t="str">
        <f t="shared" si="21"/>
        <v>Match</v>
      </c>
      <c r="O147" s="1" t="s">
        <v>1140</v>
      </c>
      <c r="P147">
        <v>0</v>
      </c>
      <c r="Q147" t="str">
        <f t="shared" si="22"/>
        <v>Invalid</v>
      </c>
      <c r="R147" t="s">
        <v>52</v>
      </c>
      <c r="S147" t="s">
        <v>61</v>
      </c>
      <c r="T147" t="s">
        <v>43</v>
      </c>
      <c r="U147" t="s">
        <v>43</v>
      </c>
      <c r="V147" t="s">
        <v>43</v>
      </c>
      <c r="W147" s="4">
        <v>45662</v>
      </c>
      <c r="X147" s="4" t="str">
        <f t="shared" si="23"/>
        <v>Invalid</v>
      </c>
      <c r="Y147" t="s">
        <v>32</v>
      </c>
      <c r="Z147" t="str">
        <f t="shared" si="24"/>
        <v>Valid</v>
      </c>
      <c r="AA147" t="s">
        <v>44</v>
      </c>
      <c r="AB147" t="s">
        <v>73</v>
      </c>
      <c r="AC147" t="str">
        <f t="shared" si="25"/>
        <v>Valid</v>
      </c>
      <c r="AD147" s="4">
        <v>45690</v>
      </c>
      <c r="AE147" s="4" t="str">
        <f t="shared" si="26"/>
        <v>Invalid</v>
      </c>
      <c r="AF147" t="s">
        <v>46</v>
      </c>
    </row>
    <row r="148" spans="1:32" x14ac:dyDescent="0.3">
      <c r="A148" t="s">
        <v>974</v>
      </c>
      <c r="B148" s="4">
        <v>45643</v>
      </c>
      <c r="C148" t="s">
        <v>975</v>
      </c>
      <c r="D148" t="s">
        <v>25</v>
      </c>
      <c r="E148" t="s">
        <v>1324</v>
      </c>
      <c r="F148" t="s">
        <v>38</v>
      </c>
      <c r="G148" t="s">
        <v>976</v>
      </c>
      <c r="H148">
        <v>4199</v>
      </c>
      <c r="I148" t="str">
        <f t="shared" si="18"/>
        <v>Normal</v>
      </c>
      <c r="J148">
        <v>1</v>
      </c>
      <c r="K148" t="str">
        <f t="shared" si="19"/>
        <v>Normal</v>
      </c>
      <c r="L148">
        <v>4199</v>
      </c>
      <c r="M148">
        <f t="shared" si="20"/>
        <v>4199</v>
      </c>
      <c r="N148" t="str">
        <f t="shared" si="21"/>
        <v>Match</v>
      </c>
      <c r="O148" s="1" t="s">
        <v>1140</v>
      </c>
      <c r="P148">
        <v>0</v>
      </c>
      <c r="Q148" t="str">
        <f t="shared" si="22"/>
        <v>Invalid</v>
      </c>
      <c r="R148" t="s">
        <v>41</v>
      </c>
      <c r="S148" t="s">
        <v>61</v>
      </c>
      <c r="T148" t="s">
        <v>126</v>
      </c>
      <c r="U148" t="s">
        <v>127</v>
      </c>
      <c r="V148" t="s">
        <v>43</v>
      </c>
      <c r="W148" s="4">
        <v>45663</v>
      </c>
      <c r="X148" s="4" t="str">
        <f t="shared" si="23"/>
        <v>Invalid</v>
      </c>
      <c r="Y148" t="s">
        <v>32</v>
      </c>
      <c r="Z148" t="str">
        <f t="shared" si="24"/>
        <v>Valid</v>
      </c>
      <c r="AA148" t="s">
        <v>44</v>
      </c>
      <c r="AB148" t="s">
        <v>45</v>
      </c>
      <c r="AC148" t="str">
        <f t="shared" si="25"/>
        <v>Valid</v>
      </c>
      <c r="AD148" s="4">
        <v>45691</v>
      </c>
      <c r="AE148" s="4" t="str">
        <f t="shared" si="26"/>
        <v>Invalid</v>
      </c>
      <c r="AF148" t="s">
        <v>46</v>
      </c>
    </row>
    <row r="149" spans="1:32" x14ac:dyDescent="0.3">
      <c r="A149" t="s">
        <v>986</v>
      </c>
      <c r="B149" s="4">
        <v>45644</v>
      </c>
      <c r="C149" t="s">
        <v>987</v>
      </c>
      <c r="D149" t="s">
        <v>25</v>
      </c>
      <c r="E149" t="s">
        <v>1458</v>
      </c>
      <c r="F149" t="s">
        <v>26</v>
      </c>
      <c r="G149" t="s">
        <v>988</v>
      </c>
      <c r="H149">
        <v>2299</v>
      </c>
      <c r="I149" t="str">
        <f t="shared" si="18"/>
        <v>Normal</v>
      </c>
      <c r="J149">
        <v>1</v>
      </c>
      <c r="K149" t="str">
        <f t="shared" si="19"/>
        <v>Normal</v>
      </c>
      <c r="L149">
        <v>2299</v>
      </c>
      <c r="M149">
        <f t="shared" si="20"/>
        <v>1839.2</v>
      </c>
      <c r="N149" t="str">
        <f t="shared" si="21"/>
        <v>Mismatch</v>
      </c>
      <c r="O149" s="1">
        <v>44166</v>
      </c>
      <c r="P149">
        <v>20</v>
      </c>
      <c r="Q149" t="str">
        <f t="shared" si="22"/>
        <v>Invalid</v>
      </c>
      <c r="R149" t="s">
        <v>60</v>
      </c>
      <c r="S149" t="s">
        <v>29</v>
      </c>
      <c r="T149" t="s">
        <v>145</v>
      </c>
      <c r="U149" t="s">
        <v>132</v>
      </c>
      <c r="V149" t="s">
        <v>30</v>
      </c>
      <c r="W149" s="4">
        <v>45664</v>
      </c>
      <c r="X149" s="4" t="str">
        <f t="shared" si="23"/>
        <v>Invalid</v>
      </c>
      <c r="Y149" t="s">
        <v>32</v>
      </c>
      <c r="Z149" t="str">
        <f t="shared" si="24"/>
        <v>Valid</v>
      </c>
      <c r="AA149" t="s">
        <v>44</v>
      </c>
      <c r="AB149" t="s">
        <v>122</v>
      </c>
      <c r="AC149" t="str">
        <f t="shared" si="25"/>
        <v>Valid</v>
      </c>
      <c r="AD149" s="4">
        <v>45691</v>
      </c>
      <c r="AE149" s="4" t="str">
        <f t="shared" si="26"/>
        <v>Invalid</v>
      </c>
      <c r="AF149" t="s">
        <v>46</v>
      </c>
    </row>
    <row r="150" spans="1:32" x14ac:dyDescent="0.3">
      <c r="A150" t="s">
        <v>980</v>
      </c>
      <c r="B150" s="4">
        <v>45643</v>
      </c>
      <c r="C150" t="s">
        <v>981</v>
      </c>
      <c r="D150" t="s">
        <v>25</v>
      </c>
      <c r="E150" t="s">
        <v>1359</v>
      </c>
      <c r="F150" t="s">
        <v>57</v>
      </c>
      <c r="G150" t="s">
        <v>982</v>
      </c>
      <c r="H150">
        <v>5499</v>
      </c>
      <c r="I150" t="str">
        <f t="shared" si="18"/>
        <v>Normal</v>
      </c>
      <c r="J150">
        <v>1</v>
      </c>
      <c r="K150" t="str">
        <f t="shared" si="19"/>
        <v>Normal</v>
      </c>
      <c r="L150">
        <v>5499</v>
      </c>
      <c r="M150">
        <f t="shared" si="20"/>
        <v>5499</v>
      </c>
      <c r="N150" t="str">
        <f t="shared" si="21"/>
        <v>Match</v>
      </c>
      <c r="O150" s="1" t="s">
        <v>1140</v>
      </c>
      <c r="P150">
        <v>0</v>
      </c>
      <c r="Q150" t="str">
        <f t="shared" si="22"/>
        <v>Invalid</v>
      </c>
      <c r="R150" t="s">
        <v>52</v>
      </c>
      <c r="S150" t="s">
        <v>42</v>
      </c>
      <c r="T150" t="s">
        <v>136</v>
      </c>
      <c r="U150" t="s">
        <v>88</v>
      </c>
      <c r="V150" t="s">
        <v>30</v>
      </c>
      <c r="W150" s="4">
        <v>45664</v>
      </c>
      <c r="X150" s="4" t="str">
        <f t="shared" si="23"/>
        <v>Invalid</v>
      </c>
      <c r="Y150" t="s">
        <v>32</v>
      </c>
      <c r="Z150" t="str">
        <f t="shared" si="24"/>
        <v>Valid</v>
      </c>
      <c r="AA150" t="s">
        <v>44</v>
      </c>
      <c r="AB150" t="s">
        <v>94</v>
      </c>
      <c r="AC150" t="str">
        <f t="shared" si="25"/>
        <v>Valid</v>
      </c>
      <c r="AD150" s="4">
        <v>45692</v>
      </c>
      <c r="AE150" s="4" t="str">
        <f t="shared" si="26"/>
        <v>Invalid</v>
      </c>
      <c r="AF150" t="s">
        <v>46</v>
      </c>
    </row>
    <row r="151" spans="1:32" x14ac:dyDescent="0.3">
      <c r="A151" t="s">
        <v>992</v>
      </c>
      <c r="B151" s="4">
        <v>45644</v>
      </c>
      <c r="C151" t="s">
        <v>993</v>
      </c>
      <c r="D151" t="s">
        <v>25</v>
      </c>
      <c r="E151" t="s">
        <v>1210</v>
      </c>
      <c r="F151" t="s">
        <v>50</v>
      </c>
      <c r="G151" t="s">
        <v>994</v>
      </c>
      <c r="H151">
        <v>2499</v>
      </c>
      <c r="I151" t="str">
        <f t="shared" si="18"/>
        <v>Normal</v>
      </c>
      <c r="J151">
        <v>1</v>
      </c>
      <c r="K151" t="str">
        <f t="shared" si="19"/>
        <v>Normal</v>
      </c>
      <c r="L151">
        <v>2499</v>
      </c>
      <c r="M151">
        <f t="shared" si="20"/>
        <v>2499</v>
      </c>
      <c r="N151" t="str">
        <f t="shared" si="21"/>
        <v>Match</v>
      </c>
      <c r="O151" s="1" t="s">
        <v>1140</v>
      </c>
      <c r="P151">
        <v>0</v>
      </c>
      <c r="Q151" t="str">
        <f t="shared" si="22"/>
        <v>Invalid</v>
      </c>
      <c r="R151" t="s">
        <v>28</v>
      </c>
      <c r="S151" t="s">
        <v>61</v>
      </c>
      <c r="T151" t="s">
        <v>153</v>
      </c>
      <c r="U151" t="s">
        <v>63</v>
      </c>
      <c r="V151" t="s">
        <v>53</v>
      </c>
      <c r="W151" s="4">
        <v>45665</v>
      </c>
      <c r="X151" s="4" t="str">
        <f t="shared" si="23"/>
        <v>Invalid</v>
      </c>
      <c r="Y151" t="s">
        <v>32</v>
      </c>
      <c r="Z151" t="str">
        <f t="shared" si="24"/>
        <v>Valid</v>
      </c>
      <c r="AA151" t="s">
        <v>44</v>
      </c>
      <c r="AB151" t="s">
        <v>45</v>
      </c>
      <c r="AC151" t="str">
        <f t="shared" si="25"/>
        <v>Valid</v>
      </c>
      <c r="AD151" s="4">
        <v>45693</v>
      </c>
      <c r="AE151" s="4" t="str">
        <f t="shared" si="26"/>
        <v>Invalid</v>
      </c>
      <c r="AF151" t="s">
        <v>46</v>
      </c>
    </row>
    <row r="152" spans="1:32" x14ac:dyDescent="0.3">
      <c r="A152" t="s">
        <v>1001</v>
      </c>
      <c r="B152" s="4">
        <v>45645</v>
      </c>
      <c r="C152" t="s">
        <v>1002</v>
      </c>
      <c r="D152" t="s">
        <v>25</v>
      </c>
      <c r="E152" t="s">
        <v>1438</v>
      </c>
      <c r="F152" t="s">
        <v>26</v>
      </c>
      <c r="G152" t="s">
        <v>1003</v>
      </c>
      <c r="H152">
        <v>1899</v>
      </c>
      <c r="I152" t="str">
        <f t="shared" si="18"/>
        <v>Normal</v>
      </c>
      <c r="J152">
        <v>1</v>
      </c>
      <c r="K152" t="str">
        <f t="shared" si="19"/>
        <v>Normal</v>
      </c>
      <c r="L152">
        <v>1899</v>
      </c>
      <c r="M152">
        <f t="shared" si="20"/>
        <v>1899</v>
      </c>
      <c r="N152" t="str">
        <f t="shared" si="21"/>
        <v>Match</v>
      </c>
      <c r="O152" s="1" t="s">
        <v>1140</v>
      </c>
      <c r="P152">
        <v>0</v>
      </c>
      <c r="Q152" t="str">
        <f t="shared" si="22"/>
        <v>Invalid</v>
      </c>
      <c r="R152" t="s">
        <v>60</v>
      </c>
      <c r="S152" t="s">
        <v>61</v>
      </c>
      <c r="T152" t="s">
        <v>167</v>
      </c>
      <c r="U152" t="s">
        <v>158</v>
      </c>
      <c r="V152" t="s">
        <v>53</v>
      </c>
      <c r="W152" s="4">
        <v>45666</v>
      </c>
      <c r="X152" s="4" t="str">
        <f t="shared" si="23"/>
        <v>Invalid</v>
      </c>
      <c r="Y152" t="s">
        <v>32</v>
      </c>
      <c r="Z152" t="str">
        <f t="shared" si="24"/>
        <v>Valid</v>
      </c>
      <c r="AA152" t="s">
        <v>44</v>
      </c>
      <c r="AB152" t="s">
        <v>64</v>
      </c>
      <c r="AC152" t="str">
        <f t="shared" si="25"/>
        <v>Valid</v>
      </c>
      <c r="AD152" s="4">
        <v>45693</v>
      </c>
      <c r="AE152" s="4" t="str">
        <f t="shared" si="26"/>
        <v>Invalid</v>
      </c>
      <c r="AF152" t="s">
        <v>46</v>
      </c>
    </row>
    <row r="153" spans="1:32" x14ac:dyDescent="0.3">
      <c r="A153" t="s">
        <v>995</v>
      </c>
      <c r="B153" s="4">
        <v>45645</v>
      </c>
      <c r="C153" t="s">
        <v>996</v>
      </c>
      <c r="D153" t="s">
        <v>25</v>
      </c>
      <c r="E153" t="s">
        <v>1361</v>
      </c>
      <c r="F153" t="s">
        <v>57</v>
      </c>
      <c r="G153" t="s">
        <v>997</v>
      </c>
      <c r="H153">
        <v>6799</v>
      </c>
      <c r="I153" t="str">
        <f t="shared" si="18"/>
        <v>Normal</v>
      </c>
      <c r="J153">
        <v>1</v>
      </c>
      <c r="K153" t="str">
        <f t="shared" si="19"/>
        <v>Normal</v>
      </c>
      <c r="L153">
        <v>6799</v>
      </c>
      <c r="M153">
        <f t="shared" si="20"/>
        <v>5439.2000000000007</v>
      </c>
      <c r="N153" t="str">
        <f t="shared" si="21"/>
        <v>Mismatch</v>
      </c>
      <c r="O153" s="1">
        <v>44166</v>
      </c>
      <c r="P153">
        <v>20</v>
      </c>
      <c r="Q153" t="str">
        <f t="shared" si="22"/>
        <v>Invalid</v>
      </c>
      <c r="R153" t="s">
        <v>52</v>
      </c>
      <c r="S153" t="s">
        <v>29</v>
      </c>
      <c r="T153" t="s">
        <v>157</v>
      </c>
      <c r="U153" t="s">
        <v>158</v>
      </c>
      <c r="V153" t="s">
        <v>53</v>
      </c>
      <c r="W153" s="4">
        <v>45666</v>
      </c>
      <c r="X153" s="4" t="str">
        <f t="shared" si="23"/>
        <v>Invalid</v>
      </c>
      <c r="Y153" t="s">
        <v>32</v>
      </c>
      <c r="Z153" t="str">
        <f t="shared" si="24"/>
        <v>Valid</v>
      </c>
      <c r="AA153" t="s">
        <v>44</v>
      </c>
      <c r="AB153" t="s">
        <v>73</v>
      </c>
      <c r="AC153" t="str">
        <f t="shared" si="25"/>
        <v>Valid</v>
      </c>
      <c r="AD153" s="4">
        <v>45694</v>
      </c>
      <c r="AE153" s="4" t="str">
        <f t="shared" si="26"/>
        <v>Invalid</v>
      </c>
      <c r="AF153" t="s">
        <v>46</v>
      </c>
    </row>
    <row r="154" spans="1:32" x14ac:dyDescent="0.3">
      <c r="A154" t="s">
        <v>1004</v>
      </c>
      <c r="B154" s="4">
        <v>45645</v>
      </c>
      <c r="C154" t="s">
        <v>1005</v>
      </c>
      <c r="D154" t="s">
        <v>25</v>
      </c>
      <c r="E154" t="s">
        <v>1339</v>
      </c>
      <c r="F154" t="s">
        <v>38</v>
      </c>
      <c r="G154" t="s">
        <v>1006</v>
      </c>
      <c r="H154">
        <v>4499</v>
      </c>
      <c r="I154" t="str">
        <f t="shared" si="18"/>
        <v>Normal</v>
      </c>
      <c r="J154">
        <v>1</v>
      </c>
      <c r="K154" t="str">
        <f t="shared" si="19"/>
        <v>Normal</v>
      </c>
      <c r="L154">
        <v>4499</v>
      </c>
      <c r="M154">
        <f t="shared" si="20"/>
        <v>3599.2000000000003</v>
      </c>
      <c r="N154" t="str">
        <f t="shared" si="21"/>
        <v>Mismatch</v>
      </c>
      <c r="O154" s="1">
        <v>44166</v>
      </c>
      <c r="P154">
        <v>20</v>
      </c>
      <c r="Q154" t="str">
        <f t="shared" si="22"/>
        <v>Invalid</v>
      </c>
      <c r="R154" t="s">
        <v>41</v>
      </c>
      <c r="S154" t="s">
        <v>29</v>
      </c>
      <c r="T154" t="s">
        <v>171</v>
      </c>
      <c r="U154" t="s">
        <v>54</v>
      </c>
      <c r="V154" t="s">
        <v>53</v>
      </c>
      <c r="W154" s="4">
        <v>45667</v>
      </c>
      <c r="X154" s="4" t="str">
        <f t="shared" si="23"/>
        <v>Invalid</v>
      </c>
      <c r="Y154" t="s">
        <v>32</v>
      </c>
      <c r="Z154" t="str">
        <f t="shared" si="24"/>
        <v>Valid</v>
      </c>
      <c r="AA154" t="s">
        <v>44</v>
      </c>
      <c r="AB154" t="s">
        <v>45</v>
      </c>
      <c r="AC154" t="str">
        <f t="shared" si="25"/>
        <v>Valid</v>
      </c>
      <c r="AD154" s="4">
        <v>45695</v>
      </c>
      <c r="AE154" s="4" t="str">
        <f t="shared" si="26"/>
        <v>Invalid</v>
      </c>
      <c r="AF154" t="s">
        <v>46</v>
      </c>
    </row>
    <row r="155" spans="1:32" x14ac:dyDescent="0.3">
      <c r="A155" t="s">
        <v>1016</v>
      </c>
      <c r="B155" s="4">
        <v>45646</v>
      </c>
      <c r="C155" t="s">
        <v>1017</v>
      </c>
      <c r="D155" t="s">
        <v>25</v>
      </c>
      <c r="E155" t="s">
        <v>1461</v>
      </c>
      <c r="F155" t="s">
        <v>26</v>
      </c>
      <c r="G155" t="s">
        <v>1018</v>
      </c>
      <c r="H155">
        <v>2099</v>
      </c>
      <c r="I155" t="str">
        <f t="shared" si="18"/>
        <v>Normal</v>
      </c>
      <c r="J155">
        <v>1</v>
      </c>
      <c r="K155" t="str">
        <f t="shared" si="19"/>
        <v>Normal</v>
      </c>
      <c r="L155">
        <v>2099</v>
      </c>
      <c r="M155">
        <f t="shared" si="20"/>
        <v>2099</v>
      </c>
      <c r="N155" t="str">
        <f t="shared" si="21"/>
        <v>Match</v>
      </c>
      <c r="O155" s="1" t="s">
        <v>1140</v>
      </c>
      <c r="P155">
        <v>0</v>
      </c>
      <c r="Q155" t="str">
        <f t="shared" si="22"/>
        <v>Invalid</v>
      </c>
      <c r="R155" t="s">
        <v>60</v>
      </c>
      <c r="S155" t="s">
        <v>42</v>
      </c>
      <c r="T155" t="s">
        <v>30</v>
      </c>
      <c r="U155" t="s">
        <v>31</v>
      </c>
      <c r="V155" t="s">
        <v>30</v>
      </c>
      <c r="W155" s="4">
        <v>45668</v>
      </c>
      <c r="X155" s="4" t="str">
        <f t="shared" si="23"/>
        <v>Invalid</v>
      </c>
      <c r="Y155" t="s">
        <v>32</v>
      </c>
      <c r="Z155" t="str">
        <f t="shared" si="24"/>
        <v>Valid</v>
      </c>
      <c r="AA155" t="s">
        <v>44</v>
      </c>
      <c r="AB155" t="s">
        <v>122</v>
      </c>
      <c r="AC155" t="str">
        <f t="shared" si="25"/>
        <v>Valid</v>
      </c>
      <c r="AD155" s="4">
        <v>45695</v>
      </c>
      <c r="AE155" s="4" t="str">
        <f t="shared" si="26"/>
        <v>Invalid</v>
      </c>
      <c r="AF155" t="s">
        <v>46</v>
      </c>
    </row>
    <row r="156" spans="1:32" x14ac:dyDescent="0.3">
      <c r="A156" t="s">
        <v>1010</v>
      </c>
      <c r="B156" s="4">
        <v>45646</v>
      </c>
      <c r="C156" t="s">
        <v>1011</v>
      </c>
      <c r="D156" t="s">
        <v>25</v>
      </c>
      <c r="E156" t="s">
        <v>1370</v>
      </c>
      <c r="F156" t="s">
        <v>57</v>
      </c>
      <c r="G156" t="s">
        <v>1012</v>
      </c>
      <c r="H156">
        <v>5199</v>
      </c>
      <c r="I156" t="str">
        <f t="shared" si="18"/>
        <v>Normal</v>
      </c>
      <c r="J156">
        <v>1</v>
      </c>
      <c r="K156" t="str">
        <f t="shared" si="19"/>
        <v>Normal</v>
      </c>
      <c r="L156">
        <v>5199</v>
      </c>
      <c r="M156">
        <f t="shared" si="20"/>
        <v>5199</v>
      </c>
      <c r="N156" t="str">
        <f t="shared" si="21"/>
        <v>Match</v>
      </c>
      <c r="O156" s="1" t="s">
        <v>1140</v>
      </c>
      <c r="P156">
        <v>0</v>
      </c>
      <c r="Q156" t="str">
        <f t="shared" si="22"/>
        <v>Invalid</v>
      </c>
      <c r="R156" t="s">
        <v>52</v>
      </c>
      <c r="S156" t="s">
        <v>61</v>
      </c>
      <c r="T156" t="s">
        <v>179</v>
      </c>
      <c r="U156" t="s">
        <v>88</v>
      </c>
      <c r="V156" t="s">
        <v>30</v>
      </c>
      <c r="W156" s="4">
        <v>45668</v>
      </c>
      <c r="X156" s="4" t="str">
        <f t="shared" si="23"/>
        <v>Invalid</v>
      </c>
      <c r="Y156" t="s">
        <v>32</v>
      </c>
      <c r="Z156" t="str">
        <f t="shared" si="24"/>
        <v>Valid</v>
      </c>
      <c r="AA156" t="s">
        <v>44</v>
      </c>
      <c r="AB156" t="s">
        <v>94</v>
      </c>
      <c r="AC156" t="str">
        <f t="shared" si="25"/>
        <v>Valid</v>
      </c>
      <c r="AD156" s="4">
        <v>45696</v>
      </c>
      <c r="AE156" s="4" t="str">
        <f t="shared" si="26"/>
        <v>Invalid</v>
      </c>
      <c r="AF156" t="s">
        <v>46</v>
      </c>
    </row>
    <row r="157" spans="1:32" x14ac:dyDescent="0.3">
      <c r="A157" t="s">
        <v>1028</v>
      </c>
      <c r="B157" s="4">
        <v>45647</v>
      </c>
      <c r="C157" t="s">
        <v>1029</v>
      </c>
      <c r="D157" t="s">
        <v>37</v>
      </c>
      <c r="E157" t="s">
        <v>1196</v>
      </c>
      <c r="F157" t="s">
        <v>66</v>
      </c>
      <c r="G157" t="s">
        <v>1030</v>
      </c>
      <c r="H157">
        <v>899</v>
      </c>
      <c r="I157" t="str">
        <f t="shared" si="18"/>
        <v>Normal</v>
      </c>
      <c r="J157">
        <v>1</v>
      </c>
      <c r="K157" t="str">
        <f t="shared" si="19"/>
        <v>Normal</v>
      </c>
      <c r="L157">
        <v>899</v>
      </c>
      <c r="M157">
        <f t="shared" si="20"/>
        <v>899</v>
      </c>
      <c r="N157" t="str">
        <f t="shared" si="21"/>
        <v>Match</v>
      </c>
      <c r="O157" s="1" t="s">
        <v>1140</v>
      </c>
      <c r="P157">
        <v>0</v>
      </c>
      <c r="Q157" t="str">
        <f t="shared" si="22"/>
        <v>Invalid</v>
      </c>
      <c r="R157" t="s">
        <v>100</v>
      </c>
      <c r="S157" t="s">
        <v>61</v>
      </c>
      <c r="T157" t="s">
        <v>71</v>
      </c>
      <c r="U157" t="s">
        <v>72</v>
      </c>
      <c r="V157" t="s">
        <v>53</v>
      </c>
      <c r="W157" s="4">
        <v>45669</v>
      </c>
      <c r="X157" s="4" t="str">
        <f t="shared" si="23"/>
        <v>Invalid</v>
      </c>
      <c r="Y157" t="s">
        <v>32</v>
      </c>
      <c r="Z157" t="str">
        <f t="shared" si="24"/>
        <v>Valid</v>
      </c>
      <c r="AA157" t="s">
        <v>44</v>
      </c>
      <c r="AB157" t="s">
        <v>64</v>
      </c>
      <c r="AC157" t="str">
        <f t="shared" si="25"/>
        <v>Valid</v>
      </c>
      <c r="AD157" s="4">
        <v>45696</v>
      </c>
      <c r="AE157" s="4" t="str">
        <f t="shared" si="26"/>
        <v>Invalid</v>
      </c>
      <c r="AF157" t="s">
        <v>46</v>
      </c>
    </row>
    <row r="158" spans="1:32" x14ac:dyDescent="0.3">
      <c r="A158" t="s">
        <v>1019</v>
      </c>
      <c r="B158" s="4">
        <v>45647</v>
      </c>
      <c r="C158" t="s">
        <v>1020</v>
      </c>
      <c r="D158" t="s">
        <v>25</v>
      </c>
      <c r="E158" t="s">
        <v>1302</v>
      </c>
      <c r="F158" t="s">
        <v>38</v>
      </c>
      <c r="G158" t="s">
        <v>1021</v>
      </c>
      <c r="H158">
        <v>3999</v>
      </c>
      <c r="I158" t="str">
        <f t="shared" si="18"/>
        <v>Normal</v>
      </c>
      <c r="J158">
        <v>1</v>
      </c>
      <c r="K158" t="str">
        <f t="shared" si="19"/>
        <v>Normal</v>
      </c>
      <c r="L158">
        <v>3999</v>
      </c>
      <c r="M158">
        <f t="shared" si="20"/>
        <v>3999</v>
      </c>
      <c r="N158" t="str">
        <f t="shared" si="21"/>
        <v>Match</v>
      </c>
      <c r="O158" s="1" t="s">
        <v>1140</v>
      </c>
      <c r="P158">
        <v>0</v>
      </c>
      <c r="Q158" t="str">
        <f t="shared" si="22"/>
        <v>Invalid</v>
      </c>
      <c r="R158" t="s">
        <v>41</v>
      </c>
      <c r="S158" t="s">
        <v>61</v>
      </c>
      <c r="T158" t="s">
        <v>43</v>
      </c>
      <c r="U158" t="s">
        <v>43</v>
      </c>
      <c r="V158" t="s">
        <v>43</v>
      </c>
      <c r="W158" s="4">
        <v>45669</v>
      </c>
      <c r="X158" s="4" t="str">
        <f t="shared" si="23"/>
        <v>Invalid</v>
      </c>
      <c r="Y158" t="s">
        <v>32</v>
      </c>
      <c r="Z158" t="str">
        <f t="shared" si="24"/>
        <v>Valid</v>
      </c>
      <c r="AA158" t="s">
        <v>44</v>
      </c>
      <c r="AB158" t="s">
        <v>45</v>
      </c>
      <c r="AC158" t="str">
        <f t="shared" si="25"/>
        <v>Valid</v>
      </c>
      <c r="AD158" s="4">
        <v>45697</v>
      </c>
      <c r="AE158" s="4" t="str">
        <f t="shared" si="26"/>
        <v>Invalid</v>
      </c>
      <c r="AF158" t="s">
        <v>46</v>
      </c>
    </row>
    <row r="159" spans="1:32" x14ac:dyDescent="0.3">
      <c r="A159" t="s">
        <v>1025</v>
      </c>
      <c r="B159" s="4">
        <v>45647</v>
      </c>
      <c r="C159" t="s">
        <v>1026</v>
      </c>
      <c r="D159" t="s">
        <v>25</v>
      </c>
      <c r="E159" t="s">
        <v>1403</v>
      </c>
      <c r="F159" t="s">
        <v>57</v>
      </c>
      <c r="G159" t="s">
        <v>1027</v>
      </c>
      <c r="H159">
        <v>7299</v>
      </c>
      <c r="I159" t="str">
        <f t="shared" si="18"/>
        <v>Normal</v>
      </c>
      <c r="J159">
        <v>1</v>
      </c>
      <c r="K159" t="str">
        <f t="shared" si="19"/>
        <v>Normal</v>
      </c>
      <c r="L159">
        <v>7299</v>
      </c>
      <c r="M159">
        <f t="shared" si="20"/>
        <v>7299</v>
      </c>
      <c r="N159" t="str">
        <f t="shared" si="21"/>
        <v>Match</v>
      </c>
      <c r="O159" s="1" t="s">
        <v>1140</v>
      </c>
      <c r="P159">
        <v>0</v>
      </c>
      <c r="Q159" t="str">
        <f t="shared" si="22"/>
        <v>Invalid</v>
      </c>
      <c r="R159" t="s">
        <v>52</v>
      </c>
      <c r="S159" t="s">
        <v>42</v>
      </c>
      <c r="T159" t="s">
        <v>62</v>
      </c>
      <c r="U159" t="s">
        <v>63</v>
      </c>
      <c r="V159" t="s">
        <v>53</v>
      </c>
      <c r="W159" s="4">
        <v>45670</v>
      </c>
      <c r="X159" s="4" t="str">
        <f t="shared" si="23"/>
        <v>Invalid</v>
      </c>
      <c r="Y159" t="s">
        <v>32</v>
      </c>
      <c r="Z159" t="str">
        <f t="shared" si="24"/>
        <v>Valid</v>
      </c>
      <c r="AA159" t="s">
        <v>44</v>
      </c>
      <c r="AB159" t="s">
        <v>73</v>
      </c>
      <c r="AC159" t="str">
        <f t="shared" si="25"/>
        <v>Valid</v>
      </c>
      <c r="AD159" s="4">
        <v>45698</v>
      </c>
      <c r="AE159" s="4" t="str">
        <f t="shared" si="26"/>
        <v>Invalid</v>
      </c>
      <c r="AF159" t="s">
        <v>46</v>
      </c>
    </row>
    <row r="160" spans="1:32" x14ac:dyDescent="0.3">
      <c r="A160" t="s">
        <v>1034</v>
      </c>
      <c r="B160" s="4">
        <v>45648</v>
      </c>
      <c r="C160" t="s">
        <v>1035</v>
      </c>
      <c r="D160" t="s">
        <v>25</v>
      </c>
      <c r="E160" t="s">
        <v>1313</v>
      </c>
      <c r="F160" t="s">
        <v>38</v>
      </c>
      <c r="G160" t="s">
        <v>1036</v>
      </c>
      <c r="H160">
        <v>4699</v>
      </c>
      <c r="I160" t="str">
        <f t="shared" si="18"/>
        <v>Normal</v>
      </c>
      <c r="J160">
        <v>1</v>
      </c>
      <c r="K160" t="str">
        <f t="shared" si="19"/>
        <v>Normal</v>
      </c>
      <c r="L160">
        <v>4699</v>
      </c>
      <c r="M160">
        <f t="shared" si="20"/>
        <v>4699</v>
      </c>
      <c r="N160" t="str">
        <f t="shared" si="21"/>
        <v>Match</v>
      </c>
      <c r="O160" s="1" t="s">
        <v>1140</v>
      </c>
      <c r="P160">
        <v>0</v>
      </c>
      <c r="Q160" t="str">
        <f t="shared" si="22"/>
        <v>Invalid</v>
      </c>
      <c r="R160" t="s">
        <v>41</v>
      </c>
      <c r="S160" t="s">
        <v>42</v>
      </c>
      <c r="T160" t="s">
        <v>87</v>
      </c>
      <c r="U160" t="s">
        <v>88</v>
      </c>
      <c r="V160" t="s">
        <v>30</v>
      </c>
      <c r="W160" s="4">
        <v>45671</v>
      </c>
      <c r="X160" s="4" t="str">
        <f t="shared" si="23"/>
        <v>Invalid</v>
      </c>
      <c r="Y160" t="s">
        <v>32</v>
      </c>
      <c r="Z160" t="str">
        <f t="shared" si="24"/>
        <v>Valid</v>
      </c>
      <c r="AA160" t="s">
        <v>44</v>
      </c>
      <c r="AB160" t="s">
        <v>45</v>
      </c>
      <c r="AC160" t="str">
        <f t="shared" si="25"/>
        <v>Valid</v>
      </c>
      <c r="AD160" s="4">
        <v>45699</v>
      </c>
      <c r="AE160" s="4" t="str">
        <f t="shared" si="26"/>
        <v>Invalid</v>
      </c>
      <c r="AF160" t="s">
        <v>46</v>
      </c>
    </row>
    <row r="161" spans="1:32" x14ac:dyDescent="0.3">
      <c r="A161" t="s">
        <v>1046</v>
      </c>
      <c r="B161" s="4">
        <v>45649</v>
      </c>
      <c r="C161" t="s">
        <v>1047</v>
      </c>
      <c r="D161" t="s">
        <v>25</v>
      </c>
      <c r="E161" t="s">
        <v>1427</v>
      </c>
      <c r="F161" t="s">
        <v>26</v>
      </c>
      <c r="G161" t="s">
        <v>1048</v>
      </c>
      <c r="H161">
        <v>2199</v>
      </c>
      <c r="I161" t="str">
        <f t="shared" si="18"/>
        <v>Normal</v>
      </c>
      <c r="J161">
        <v>1</v>
      </c>
      <c r="K161" t="str">
        <f t="shared" si="19"/>
        <v>Normal</v>
      </c>
      <c r="L161">
        <v>2199</v>
      </c>
      <c r="M161">
        <f t="shared" si="20"/>
        <v>2199</v>
      </c>
      <c r="N161" t="str">
        <f t="shared" si="21"/>
        <v>Match</v>
      </c>
      <c r="O161" s="1" t="s">
        <v>1140</v>
      </c>
      <c r="P161">
        <v>0</v>
      </c>
      <c r="Q161" t="str">
        <f t="shared" si="22"/>
        <v>Invalid</v>
      </c>
      <c r="R161" t="s">
        <v>60</v>
      </c>
      <c r="S161" t="s">
        <v>61</v>
      </c>
      <c r="T161" t="s">
        <v>30</v>
      </c>
      <c r="U161" t="s">
        <v>31</v>
      </c>
      <c r="V161" t="s">
        <v>30</v>
      </c>
      <c r="W161" s="4">
        <v>45672</v>
      </c>
      <c r="X161" s="4" t="str">
        <f t="shared" si="23"/>
        <v>Invalid</v>
      </c>
      <c r="Y161" t="s">
        <v>32</v>
      </c>
      <c r="Z161" t="str">
        <f t="shared" si="24"/>
        <v>Valid</v>
      </c>
      <c r="AA161" t="s">
        <v>44</v>
      </c>
      <c r="AB161" t="s">
        <v>122</v>
      </c>
      <c r="AC161" t="str">
        <f t="shared" si="25"/>
        <v>Valid</v>
      </c>
      <c r="AD161" s="4">
        <v>45699</v>
      </c>
      <c r="AE161" s="4" t="str">
        <f t="shared" si="26"/>
        <v>Invalid</v>
      </c>
      <c r="AF161" t="s">
        <v>46</v>
      </c>
    </row>
    <row r="162" spans="1:32" x14ac:dyDescent="0.3">
      <c r="A162" t="s">
        <v>1040</v>
      </c>
      <c r="B162" s="4">
        <v>45648</v>
      </c>
      <c r="C162" t="s">
        <v>1041</v>
      </c>
      <c r="D162" t="s">
        <v>25</v>
      </c>
      <c r="E162" t="s">
        <v>1349</v>
      </c>
      <c r="F162" t="s">
        <v>57</v>
      </c>
      <c r="G162" t="s">
        <v>1042</v>
      </c>
      <c r="H162">
        <v>5399</v>
      </c>
      <c r="I162" t="str">
        <f t="shared" si="18"/>
        <v>Normal</v>
      </c>
      <c r="J162">
        <v>1</v>
      </c>
      <c r="K162" t="str">
        <f t="shared" si="19"/>
        <v>Normal</v>
      </c>
      <c r="L162">
        <v>5399</v>
      </c>
      <c r="M162">
        <f t="shared" si="20"/>
        <v>4319.2</v>
      </c>
      <c r="N162" t="str">
        <f t="shared" si="21"/>
        <v>Mismatch</v>
      </c>
      <c r="O162" s="1">
        <v>44166</v>
      </c>
      <c r="P162">
        <v>20</v>
      </c>
      <c r="Q162" t="str">
        <f t="shared" si="22"/>
        <v>Invalid</v>
      </c>
      <c r="R162" t="s">
        <v>52</v>
      </c>
      <c r="S162" t="s">
        <v>29</v>
      </c>
      <c r="T162" t="s">
        <v>101</v>
      </c>
      <c r="U162" t="s">
        <v>102</v>
      </c>
      <c r="V162" t="s">
        <v>43</v>
      </c>
      <c r="W162" s="4">
        <v>45672</v>
      </c>
      <c r="X162" s="4" t="str">
        <f t="shared" si="23"/>
        <v>Invalid</v>
      </c>
      <c r="Y162" t="s">
        <v>32</v>
      </c>
      <c r="Z162" t="str">
        <f t="shared" si="24"/>
        <v>Valid</v>
      </c>
      <c r="AA162" t="s">
        <v>44</v>
      </c>
      <c r="AB162" t="s">
        <v>94</v>
      </c>
      <c r="AC162" t="str">
        <f t="shared" si="25"/>
        <v>Valid</v>
      </c>
      <c r="AD162" s="4">
        <v>45700</v>
      </c>
      <c r="AE162" s="4" t="str">
        <f t="shared" si="26"/>
        <v>Invalid</v>
      </c>
      <c r="AF162" t="s">
        <v>46</v>
      </c>
    </row>
    <row r="163" spans="1:32" x14ac:dyDescent="0.3">
      <c r="A163" t="s">
        <v>1049</v>
      </c>
      <c r="B163" s="4">
        <v>45649</v>
      </c>
      <c r="C163" t="s">
        <v>1050</v>
      </c>
      <c r="D163" t="s">
        <v>25</v>
      </c>
      <c r="E163" t="s">
        <v>1330</v>
      </c>
      <c r="F163" t="s">
        <v>38</v>
      </c>
      <c r="G163" t="s">
        <v>1051</v>
      </c>
      <c r="H163">
        <v>3799</v>
      </c>
      <c r="I163" t="str">
        <f t="shared" si="18"/>
        <v>Normal</v>
      </c>
      <c r="J163">
        <v>1</v>
      </c>
      <c r="K163" t="str">
        <f t="shared" si="19"/>
        <v>Normal</v>
      </c>
      <c r="L163">
        <v>3799</v>
      </c>
      <c r="M163">
        <f t="shared" si="20"/>
        <v>3039.2000000000003</v>
      </c>
      <c r="N163" t="str">
        <f t="shared" si="21"/>
        <v>Mismatch</v>
      </c>
      <c r="O163" s="1">
        <v>44166</v>
      </c>
      <c r="P163">
        <v>20</v>
      </c>
      <c r="Q163" t="str">
        <f t="shared" si="22"/>
        <v>Invalid</v>
      </c>
      <c r="R163" t="s">
        <v>41</v>
      </c>
      <c r="S163" t="s">
        <v>29</v>
      </c>
      <c r="T163" t="s">
        <v>43</v>
      </c>
      <c r="U163" t="s">
        <v>43</v>
      </c>
      <c r="V163" t="s">
        <v>43</v>
      </c>
      <c r="W163" s="4">
        <v>45673</v>
      </c>
      <c r="X163" s="4" t="str">
        <f t="shared" si="23"/>
        <v>Invalid</v>
      </c>
      <c r="Y163" t="s">
        <v>32</v>
      </c>
      <c r="Z163" t="str">
        <f t="shared" si="24"/>
        <v>Valid</v>
      </c>
      <c r="AA163" t="s">
        <v>44</v>
      </c>
      <c r="AB163" t="s">
        <v>45</v>
      </c>
      <c r="AC163" t="str">
        <f t="shared" si="25"/>
        <v>Valid</v>
      </c>
      <c r="AD163" s="4">
        <v>45701</v>
      </c>
      <c r="AE163" s="4" t="str">
        <f t="shared" si="26"/>
        <v>Invalid</v>
      </c>
      <c r="AF163" t="s">
        <v>46</v>
      </c>
    </row>
    <row r="164" spans="1:32" x14ac:dyDescent="0.3">
      <c r="A164" t="s">
        <v>1061</v>
      </c>
      <c r="B164" s="4">
        <v>45650</v>
      </c>
      <c r="C164" t="s">
        <v>1062</v>
      </c>
      <c r="D164" t="s">
        <v>25</v>
      </c>
      <c r="E164" t="s">
        <v>1454</v>
      </c>
      <c r="F164" t="s">
        <v>26</v>
      </c>
      <c r="G164" t="s">
        <v>1063</v>
      </c>
      <c r="H164">
        <v>1799</v>
      </c>
      <c r="I164" t="str">
        <f t="shared" si="18"/>
        <v>Normal</v>
      </c>
      <c r="J164">
        <v>1</v>
      </c>
      <c r="K164" t="str">
        <f t="shared" si="19"/>
        <v>Normal</v>
      </c>
      <c r="L164">
        <v>1799</v>
      </c>
      <c r="M164">
        <f t="shared" si="20"/>
        <v>1799</v>
      </c>
      <c r="N164" t="str">
        <f t="shared" si="21"/>
        <v>Match</v>
      </c>
      <c r="O164" s="1" t="s">
        <v>1140</v>
      </c>
      <c r="P164">
        <v>0</v>
      </c>
      <c r="Q164" t="str">
        <f t="shared" si="22"/>
        <v>Invalid</v>
      </c>
      <c r="R164" t="s">
        <v>60</v>
      </c>
      <c r="S164" t="s">
        <v>42</v>
      </c>
      <c r="T164" t="s">
        <v>131</v>
      </c>
      <c r="U164" t="s">
        <v>132</v>
      </c>
      <c r="V164" t="s">
        <v>30</v>
      </c>
      <c r="W164" s="4">
        <v>45674</v>
      </c>
      <c r="X164" s="4" t="str">
        <f t="shared" si="23"/>
        <v>Invalid</v>
      </c>
      <c r="Y164" t="s">
        <v>32</v>
      </c>
      <c r="Z164" t="str">
        <f t="shared" si="24"/>
        <v>Valid</v>
      </c>
      <c r="AA164" t="s">
        <v>44</v>
      </c>
      <c r="AB164" t="s">
        <v>64</v>
      </c>
      <c r="AC164" t="str">
        <f t="shared" si="25"/>
        <v>Valid</v>
      </c>
      <c r="AD164" s="4">
        <v>45701</v>
      </c>
      <c r="AE164" s="4" t="str">
        <f t="shared" si="26"/>
        <v>Invalid</v>
      </c>
      <c r="AF164" t="s">
        <v>46</v>
      </c>
    </row>
    <row r="165" spans="1:32" x14ac:dyDescent="0.3">
      <c r="A165" t="s">
        <v>1055</v>
      </c>
      <c r="B165" s="4">
        <v>45650</v>
      </c>
      <c r="C165" t="s">
        <v>1056</v>
      </c>
      <c r="D165" t="s">
        <v>25</v>
      </c>
      <c r="E165" t="s">
        <v>1405</v>
      </c>
      <c r="F165" t="s">
        <v>57</v>
      </c>
      <c r="G165" t="s">
        <v>1057</v>
      </c>
      <c r="H165">
        <v>6499</v>
      </c>
      <c r="I165" t="str">
        <f t="shared" si="18"/>
        <v>Normal</v>
      </c>
      <c r="J165">
        <v>1</v>
      </c>
      <c r="K165" t="str">
        <f t="shared" si="19"/>
        <v>Normal</v>
      </c>
      <c r="L165">
        <v>6499</v>
      </c>
      <c r="M165">
        <f t="shared" si="20"/>
        <v>6499</v>
      </c>
      <c r="N165" t="str">
        <f t="shared" si="21"/>
        <v>Match</v>
      </c>
      <c r="O165" s="1" t="s">
        <v>1140</v>
      </c>
      <c r="P165">
        <v>0</v>
      </c>
      <c r="Q165" t="str">
        <f t="shared" si="22"/>
        <v>Invalid</v>
      </c>
      <c r="R165" t="s">
        <v>52</v>
      </c>
      <c r="S165" t="s">
        <v>61</v>
      </c>
      <c r="T165" t="s">
        <v>121</v>
      </c>
      <c r="U165" t="s">
        <v>102</v>
      </c>
      <c r="V165" t="s">
        <v>43</v>
      </c>
      <c r="W165" s="4">
        <v>45674</v>
      </c>
      <c r="X165" s="4" t="str">
        <f t="shared" si="23"/>
        <v>Invalid</v>
      </c>
      <c r="Y165" t="s">
        <v>32</v>
      </c>
      <c r="Z165" t="str">
        <f t="shared" si="24"/>
        <v>Valid</v>
      </c>
      <c r="AA165" t="s">
        <v>44</v>
      </c>
      <c r="AB165" t="s">
        <v>73</v>
      </c>
      <c r="AC165" t="str">
        <f t="shared" si="25"/>
        <v>Valid</v>
      </c>
      <c r="AD165" s="4">
        <v>45702</v>
      </c>
      <c r="AE165" s="4" t="str">
        <f t="shared" si="26"/>
        <v>Invalid</v>
      </c>
      <c r="AF165" t="s">
        <v>46</v>
      </c>
    </row>
    <row r="166" spans="1:32" x14ac:dyDescent="0.3">
      <c r="A166" t="s">
        <v>1064</v>
      </c>
      <c r="B166" s="4">
        <v>45650</v>
      </c>
      <c r="C166" t="s">
        <v>1065</v>
      </c>
      <c r="D166" t="s">
        <v>25</v>
      </c>
      <c r="E166" t="s">
        <v>1332</v>
      </c>
      <c r="F166" t="s">
        <v>38</v>
      </c>
      <c r="G166" t="s">
        <v>1066</v>
      </c>
      <c r="H166">
        <v>4299</v>
      </c>
      <c r="I166" t="str">
        <f t="shared" si="18"/>
        <v>Normal</v>
      </c>
      <c r="J166">
        <v>1</v>
      </c>
      <c r="K166" t="str">
        <f t="shared" si="19"/>
        <v>Normal</v>
      </c>
      <c r="L166">
        <v>4299</v>
      </c>
      <c r="M166">
        <f t="shared" si="20"/>
        <v>4299</v>
      </c>
      <c r="N166" t="str">
        <f t="shared" si="21"/>
        <v>Match</v>
      </c>
      <c r="O166" s="1" t="s">
        <v>1140</v>
      </c>
      <c r="P166">
        <v>0</v>
      </c>
      <c r="Q166" t="str">
        <f t="shared" si="22"/>
        <v>Invalid</v>
      </c>
      <c r="R166" t="s">
        <v>41</v>
      </c>
      <c r="S166" t="s">
        <v>61</v>
      </c>
      <c r="T166" t="s">
        <v>136</v>
      </c>
      <c r="U166" t="s">
        <v>88</v>
      </c>
      <c r="V166" t="s">
        <v>30</v>
      </c>
      <c r="W166" s="4">
        <v>45675</v>
      </c>
      <c r="X166" s="4" t="str">
        <f t="shared" si="23"/>
        <v>Invalid</v>
      </c>
      <c r="Y166" t="s">
        <v>32</v>
      </c>
      <c r="Z166" t="str">
        <f t="shared" si="24"/>
        <v>Valid</v>
      </c>
      <c r="AA166" t="s">
        <v>44</v>
      </c>
      <c r="AB166" t="s">
        <v>45</v>
      </c>
      <c r="AC166" t="str">
        <f t="shared" si="25"/>
        <v>Valid</v>
      </c>
      <c r="AD166" s="4">
        <v>45703</v>
      </c>
      <c r="AE166" s="4" t="str">
        <f t="shared" si="26"/>
        <v>Invalid</v>
      </c>
      <c r="AF166" t="s">
        <v>46</v>
      </c>
    </row>
    <row r="167" spans="1:32" x14ac:dyDescent="0.3">
      <c r="A167" t="s">
        <v>1076</v>
      </c>
      <c r="B167" s="4">
        <v>45651</v>
      </c>
      <c r="C167" t="s">
        <v>1077</v>
      </c>
      <c r="D167" t="s">
        <v>25</v>
      </c>
      <c r="E167" t="s">
        <v>1436</v>
      </c>
      <c r="F167" t="s">
        <v>26</v>
      </c>
      <c r="G167" t="s">
        <v>1078</v>
      </c>
      <c r="H167">
        <v>2099</v>
      </c>
      <c r="I167" t="str">
        <f t="shared" si="18"/>
        <v>Normal</v>
      </c>
      <c r="J167">
        <v>1</v>
      </c>
      <c r="K167" t="str">
        <f t="shared" si="19"/>
        <v>Normal</v>
      </c>
      <c r="L167">
        <v>2099</v>
      </c>
      <c r="M167">
        <f t="shared" si="20"/>
        <v>1679.2</v>
      </c>
      <c r="N167" t="str">
        <f t="shared" si="21"/>
        <v>Mismatch</v>
      </c>
      <c r="O167" s="1">
        <v>44166</v>
      </c>
      <c r="P167">
        <v>20</v>
      </c>
      <c r="Q167" t="str">
        <f t="shared" si="22"/>
        <v>Invalid</v>
      </c>
      <c r="R167" t="s">
        <v>60</v>
      </c>
      <c r="S167" t="s">
        <v>29</v>
      </c>
      <c r="T167" t="s">
        <v>153</v>
      </c>
      <c r="U167" t="s">
        <v>63</v>
      </c>
      <c r="V167" t="s">
        <v>53</v>
      </c>
      <c r="W167" s="4">
        <v>45676</v>
      </c>
      <c r="X167" s="4" t="str">
        <f t="shared" si="23"/>
        <v>Invalid</v>
      </c>
      <c r="Y167" t="s">
        <v>32</v>
      </c>
      <c r="Z167" t="str">
        <f t="shared" si="24"/>
        <v>Valid</v>
      </c>
      <c r="AA167" t="s">
        <v>44</v>
      </c>
      <c r="AB167" t="s">
        <v>122</v>
      </c>
      <c r="AC167" t="str">
        <f t="shared" si="25"/>
        <v>Valid</v>
      </c>
      <c r="AD167" s="4">
        <v>45703</v>
      </c>
      <c r="AE167" s="4" t="str">
        <f t="shared" si="26"/>
        <v>Invalid</v>
      </c>
      <c r="AF167" t="s">
        <v>46</v>
      </c>
    </row>
    <row r="168" spans="1:32" x14ac:dyDescent="0.3">
      <c r="A168" t="s">
        <v>1070</v>
      </c>
      <c r="B168" s="4">
        <v>45651</v>
      </c>
      <c r="C168" t="s">
        <v>1071</v>
      </c>
      <c r="D168" t="s">
        <v>25</v>
      </c>
      <c r="E168" t="s">
        <v>1374</v>
      </c>
      <c r="F168" t="s">
        <v>57</v>
      </c>
      <c r="G168" t="s">
        <v>1072</v>
      </c>
      <c r="H168">
        <v>4999</v>
      </c>
      <c r="I168" t="str">
        <f t="shared" si="18"/>
        <v>Normal</v>
      </c>
      <c r="J168">
        <v>1</v>
      </c>
      <c r="K168" t="str">
        <f t="shared" si="19"/>
        <v>Normal</v>
      </c>
      <c r="L168">
        <v>4999</v>
      </c>
      <c r="M168">
        <f t="shared" si="20"/>
        <v>4999</v>
      </c>
      <c r="N168" t="str">
        <f t="shared" si="21"/>
        <v>Match</v>
      </c>
      <c r="O168" s="1" t="s">
        <v>1140</v>
      </c>
      <c r="P168">
        <v>0</v>
      </c>
      <c r="Q168" t="str">
        <f t="shared" si="22"/>
        <v>Invalid</v>
      </c>
      <c r="R168" t="s">
        <v>52</v>
      </c>
      <c r="S168" t="s">
        <v>42</v>
      </c>
      <c r="T168" t="s">
        <v>145</v>
      </c>
      <c r="U168" t="s">
        <v>132</v>
      </c>
      <c r="V168" t="s">
        <v>30</v>
      </c>
      <c r="W168" s="4">
        <v>45676</v>
      </c>
      <c r="X168" s="4" t="str">
        <f t="shared" si="23"/>
        <v>Invalid</v>
      </c>
      <c r="Y168" t="s">
        <v>32</v>
      </c>
      <c r="Z168" t="str">
        <f t="shared" si="24"/>
        <v>Valid</v>
      </c>
      <c r="AA168" t="s">
        <v>44</v>
      </c>
      <c r="AB168" t="s">
        <v>94</v>
      </c>
      <c r="AC168" t="str">
        <f t="shared" si="25"/>
        <v>Valid</v>
      </c>
      <c r="AD168" s="4">
        <v>45704</v>
      </c>
      <c r="AE168" s="4" t="str">
        <f t="shared" si="26"/>
        <v>Invalid</v>
      </c>
      <c r="AF168" t="s">
        <v>46</v>
      </c>
    </row>
    <row r="169" spans="1:32" x14ac:dyDescent="0.3">
      <c r="A169" t="s">
        <v>1088</v>
      </c>
      <c r="B169" s="4">
        <v>45652</v>
      </c>
      <c r="C169" t="s">
        <v>1089</v>
      </c>
      <c r="D169" t="s">
        <v>37</v>
      </c>
      <c r="E169" t="s">
        <v>1159</v>
      </c>
      <c r="F169" t="s">
        <v>66</v>
      </c>
      <c r="G169" t="s">
        <v>1090</v>
      </c>
      <c r="H169">
        <v>1299</v>
      </c>
      <c r="I169" t="str">
        <f t="shared" si="18"/>
        <v>Normal</v>
      </c>
      <c r="J169">
        <v>1</v>
      </c>
      <c r="K169" t="str">
        <f t="shared" si="19"/>
        <v>Normal</v>
      </c>
      <c r="L169">
        <v>1299</v>
      </c>
      <c r="M169">
        <f t="shared" si="20"/>
        <v>1299</v>
      </c>
      <c r="N169" t="str">
        <f t="shared" si="21"/>
        <v>Match</v>
      </c>
      <c r="O169" s="1" t="s">
        <v>1140</v>
      </c>
      <c r="P169">
        <v>0</v>
      </c>
      <c r="Q169" t="str">
        <f t="shared" si="22"/>
        <v>Invalid</v>
      </c>
      <c r="R169" t="s">
        <v>100</v>
      </c>
      <c r="S169" t="s">
        <v>42</v>
      </c>
      <c r="T169" t="s">
        <v>171</v>
      </c>
      <c r="U169" t="s">
        <v>54</v>
      </c>
      <c r="V169" t="s">
        <v>53</v>
      </c>
      <c r="W169" s="4">
        <v>45677</v>
      </c>
      <c r="X169" s="4" t="str">
        <f t="shared" si="23"/>
        <v>Invalid</v>
      </c>
      <c r="Y169" t="s">
        <v>32</v>
      </c>
      <c r="Z169" t="str">
        <f t="shared" si="24"/>
        <v>Valid</v>
      </c>
      <c r="AA169" t="s">
        <v>44</v>
      </c>
      <c r="AB169" t="s">
        <v>64</v>
      </c>
      <c r="AC169" t="str">
        <f t="shared" si="25"/>
        <v>Valid</v>
      </c>
      <c r="AD169" s="4">
        <v>45704</v>
      </c>
      <c r="AE169" s="4" t="str">
        <f t="shared" si="26"/>
        <v>Invalid</v>
      </c>
      <c r="AF169" t="s">
        <v>46</v>
      </c>
    </row>
    <row r="170" spans="1:32" x14ac:dyDescent="0.3">
      <c r="A170" t="s">
        <v>1079</v>
      </c>
      <c r="B170" s="4">
        <v>45652</v>
      </c>
      <c r="C170" t="s">
        <v>1080</v>
      </c>
      <c r="D170" t="s">
        <v>25</v>
      </c>
      <c r="E170" t="s">
        <v>1282</v>
      </c>
      <c r="F170" t="s">
        <v>38</v>
      </c>
      <c r="G170" t="s">
        <v>1081</v>
      </c>
      <c r="H170">
        <v>2999</v>
      </c>
      <c r="I170" t="str">
        <f t="shared" si="18"/>
        <v>Normal</v>
      </c>
      <c r="J170">
        <v>1</v>
      </c>
      <c r="K170" t="str">
        <f t="shared" si="19"/>
        <v>Normal</v>
      </c>
      <c r="L170">
        <v>2999</v>
      </c>
      <c r="M170">
        <f t="shared" si="20"/>
        <v>2999</v>
      </c>
      <c r="N170" t="str">
        <f t="shared" si="21"/>
        <v>Match</v>
      </c>
      <c r="O170" s="1" t="s">
        <v>1140</v>
      </c>
      <c r="P170">
        <v>0</v>
      </c>
      <c r="Q170" t="str">
        <f t="shared" si="22"/>
        <v>Invalid</v>
      </c>
      <c r="R170" t="s">
        <v>41</v>
      </c>
      <c r="S170" t="s">
        <v>42</v>
      </c>
      <c r="T170" t="s">
        <v>157</v>
      </c>
      <c r="U170" t="s">
        <v>158</v>
      </c>
      <c r="V170" t="s">
        <v>53</v>
      </c>
      <c r="W170" s="4">
        <v>45677</v>
      </c>
      <c r="X170" s="4" t="str">
        <f t="shared" si="23"/>
        <v>Invalid</v>
      </c>
      <c r="Y170" t="s">
        <v>32</v>
      </c>
      <c r="Z170" t="str">
        <f t="shared" si="24"/>
        <v>Valid</v>
      </c>
      <c r="AA170" t="s">
        <v>44</v>
      </c>
      <c r="AB170" t="s">
        <v>45</v>
      </c>
      <c r="AC170" t="str">
        <f t="shared" si="25"/>
        <v>Valid</v>
      </c>
      <c r="AD170" s="4">
        <v>45705</v>
      </c>
      <c r="AE170" s="4" t="str">
        <f t="shared" si="26"/>
        <v>Invalid</v>
      </c>
      <c r="AF170" t="s">
        <v>46</v>
      </c>
    </row>
    <row r="171" spans="1:32" x14ac:dyDescent="0.3">
      <c r="A171" t="s">
        <v>1085</v>
      </c>
      <c r="B171" s="4">
        <v>45652</v>
      </c>
      <c r="C171" t="s">
        <v>1086</v>
      </c>
      <c r="D171" t="s">
        <v>25</v>
      </c>
      <c r="E171" t="s">
        <v>1390</v>
      </c>
      <c r="F171" t="s">
        <v>57</v>
      </c>
      <c r="G171" t="s">
        <v>1087</v>
      </c>
      <c r="H171">
        <v>5999</v>
      </c>
      <c r="I171" t="str">
        <f t="shared" si="18"/>
        <v>Normal</v>
      </c>
      <c r="J171">
        <v>1</v>
      </c>
      <c r="K171" t="str">
        <f t="shared" si="19"/>
        <v>Normal</v>
      </c>
      <c r="L171">
        <v>5999</v>
      </c>
      <c r="M171">
        <f t="shared" si="20"/>
        <v>4799.2</v>
      </c>
      <c r="N171" t="str">
        <f t="shared" si="21"/>
        <v>Mismatch</v>
      </c>
      <c r="O171" s="1">
        <v>44166</v>
      </c>
      <c r="P171">
        <v>20</v>
      </c>
      <c r="Q171" t="str">
        <f t="shared" si="22"/>
        <v>Invalid</v>
      </c>
      <c r="R171" t="s">
        <v>52</v>
      </c>
      <c r="S171" t="s">
        <v>29</v>
      </c>
      <c r="T171" t="s">
        <v>167</v>
      </c>
      <c r="U171" t="s">
        <v>158</v>
      </c>
      <c r="V171" t="s">
        <v>53</v>
      </c>
      <c r="W171" s="4">
        <v>45678</v>
      </c>
      <c r="X171" s="4" t="str">
        <f t="shared" si="23"/>
        <v>Invalid</v>
      </c>
      <c r="Y171" t="s">
        <v>32</v>
      </c>
      <c r="Z171" t="str">
        <f t="shared" si="24"/>
        <v>Valid</v>
      </c>
      <c r="AA171" t="s">
        <v>44</v>
      </c>
      <c r="AB171" t="s">
        <v>73</v>
      </c>
      <c r="AC171" t="str">
        <f t="shared" si="25"/>
        <v>Valid</v>
      </c>
      <c r="AD171" s="4">
        <v>45706</v>
      </c>
      <c r="AE171" s="4" t="str">
        <f t="shared" si="26"/>
        <v>Invalid</v>
      </c>
      <c r="AF171" t="s">
        <v>46</v>
      </c>
    </row>
    <row r="172" spans="1:32" x14ac:dyDescent="0.3">
      <c r="A172" t="s">
        <v>1094</v>
      </c>
      <c r="B172" s="4">
        <v>45653</v>
      </c>
      <c r="C172" t="s">
        <v>1095</v>
      </c>
      <c r="D172" t="s">
        <v>25</v>
      </c>
      <c r="E172" t="s">
        <v>1292</v>
      </c>
      <c r="F172" t="s">
        <v>38</v>
      </c>
      <c r="G172" t="s">
        <v>1096</v>
      </c>
      <c r="H172">
        <v>3499</v>
      </c>
      <c r="I172" t="str">
        <f t="shared" si="18"/>
        <v>Normal</v>
      </c>
      <c r="J172">
        <v>1</v>
      </c>
      <c r="K172" t="str">
        <f t="shared" si="19"/>
        <v>Normal</v>
      </c>
      <c r="L172">
        <v>3499</v>
      </c>
      <c r="M172">
        <f t="shared" si="20"/>
        <v>2799.2000000000003</v>
      </c>
      <c r="N172" t="str">
        <f t="shared" si="21"/>
        <v>Mismatch</v>
      </c>
      <c r="O172" s="1">
        <v>44166</v>
      </c>
      <c r="P172">
        <v>20</v>
      </c>
      <c r="Q172" t="str">
        <f t="shared" si="22"/>
        <v>Invalid</v>
      </c>
      <c r="R172" t="s">
        <v>41</v>
      </c>
      <c r="S172" t="s">
        <v>29</v>
      </c>
      <c r="T172" t="s">
        <v>179</v>
      </c>
      <c r="U172" t="s">
        <v>88</v>
      </c>
      <c r="V172" t="s">
        <v>30</v>
      </c>
      <c r="W172" s="4">
        <v>45679</v>
      </c>
      <c r="X172" s="4" t="str">
        <f t="shared" si="23"/>
        <v>Invalid</v>
      </c>
      <c r="Y172" t="s">
        <v>108</v>
      </c>
      <c r="Z172" t="str">
        <f t="shared" si="24"/>
        <v>Valid</v>
      </c>
      <c r="AA172" t="s">
        <v>44</v>
      </c>
      <c r="AB172" t="s">
        <v>45</v>
      </c>
      <c r="AC172" t="str">
        <f t="shared" si="25"/>
        <v>Valid</v>
      </c>
      <c r="AD172" s="4">
        <v>45707</v>
      </c>
      <c r="AE172" s="4" t="str">
        <f t="shared" si="26"/>
        <v>Invalid</v>
      </c>
      <c r="AF172" t="s">
        <v>46</v>
      </c>
    </row>
    <row r="173" spans="1:32" x14ac:dyDescent="0.3">
      <c r="A173" t="s">
        <v>1106</v>
      </c>
      <c r="B173" s="4">
        <v>45654</v>
      </c>
      <c r="C173" t="s">
        <v>1107</v>
      </c>
      <c r="D173" t="s">
        <v>25</v>
      </c>
      <c r="E173" t="s">
        <v>1414</v>
      </c>
      <c r="F173" t="s">
        <v>26</v>
      </c>
      <c r="G173" t="s">
        <v>1108</v>
      </c>
      <c r="H173">
        <v>1899</v>
      </c>
      <c r="I173" t="str">
        <f t="shared" si="18"/>
        <v>Normal</v>
      </c>
      <c r="J173">
        <v>1</v>
      </c>
      <c r="K173" t="str">
        <f t="shared" si="19"/>
        <v>Normal</v>
      </c>
      <c r="L173">
        <v>1899</v>
      </c>
      <c r="M173">
        <f t="shared" si="20"/>
        <v>1899</v>
      </c>
      <c r="N173" t="str">
        <f t="shared" si="21"/>
        <v>Match</v>
      </c>
      <c r="O173" s="1" t="s">
        <v>1140</v>
      </c>
      <c r="P173">
        <v>0</v>
      </c>
      <c r="Q173" t="str">
        <f t="shared" si="22"/>
        <v>Invalid</v>
      </c>
      <c r="R173" t="s">
        <v>60</v>
      </c>
      <c r="S173" t="s">
        <v>42</v>
      </c>
      <c r="T173" t="s">
        <v>82</v>
      </c>
      <c r="U173" t="s">
        <v>83</v>
      </c>
      <c r="V173" t="s">
        <v>43</v>
      </c>
      <c r="W173" s="4">
        <v>45680</v>
      </c>
      <c r="X173" s="4" t="str">
        <f t="shared" si="23"/>
        <v>Invalid</v>
      </c>
      <c r="Y173" t="s">
        <v>108</v>
      </c>
      <c r="Z173" t="str">
        <f t="shared" si="24"/>
        <v>Valid</v>
      </c>
      <c r="AA173" t="s">
        <v>44</v>
      </c>
      <c r="AB173" t="s">
        <v>122</v>
      </c>
      <c r="AC173" t="str">
        <f t="shared" si="25"/>
        <v>Valid</v>
      </c>
      <c r="AD173" s="4">
        <v>45707</v>
      </c>
      <c r="AE173" s="4" t="str">
        <f t="shared" si="26"/>
        <v>Invalid</v>
      </c>
      <c r="AF173" t="s">
        <v>46</v>
      </c>
    </row>
    <row r="174" spans="1:32" x14ac:dyDescent="0.3">
      <c r="A174" t="s">
        <v>1100</v>
      </c>
      <c r="B174" s="4">
        <v>45653</v>
      </c>
      <c r="C174" t="s">
        <v>1101</v>
      </c>
      <c r="D174" t="s">
        <v>25</v>
      </c>
      <c r="E174" t="s">
        <v>1379</v>
      </c>
      <c r="F174" t="s">
        <v>57</v>
      </c>
      <c r="G174" t="s">
        <v>1102</v>
      </c>
      <c r="H174">
        <v>4599</v>
      </c>
      <c r="I174" t="str">
        <f t="shared" si="18"/>
        <v>Normal</v>
      </c>
      <c r="J174">
        <v>1</v>
      </c>
      <c r="K174" t="str">
        <f t="shared" si="19"/>
        <v>Normal</v>
      </c>
      <c r="L174">
        <v>4599</v>
      </c>
      <c r="M174">
        <f t="shared" si="20"/>
        <v>4599</v>
      </c>
      <c r="N174" t="str">
        <f t="shared" si="21"/>
        <v>Match</v>
      </c>
      <c r="O174" s="1" t="s">
        <v>1140</v>
      </c>
      <c r="P174">
        <v>0</v>
      </c>
      <c r="Q174" t="str">
        <f t="shared" si="22"/>
        <v>Invalid</v>
      </c>
      <c r="R174" t="s">
        <v>52</v>
      </c>
      <c r="S174" t="s">
        <v>61</v>
      </c>
      <c r="T174" t="s">
        <v>30</v>
      </c>
      <c r="U174" t="s">
        <v>31</v>
      </c>
      <c r="V174" t="s">
        <v>30</v>
      </c>
      <c r="W174" s="4">
        <v>45680</v>
      </c>
      <c r="X174" s="4" t="str">
        <f t="shared" si="23"/>
        <v>Invalid</v>
      </c>
      <c r="Y174" t="s">
        <v>108</v>
      </c>
      <c r="Z174" t="str">
        <f t="shared" si="24"/>
        <v>Valid</v>
      </c>
      <c r="AA174" t="s">
        <v>44</v>
      </c>
      <c r="AB174" t="s">
        <v>94</v>
      </c>
      <c r="AC174" t="str">
        <f t="shared" si="25"/>
        <v>Valid</v>
      </c>
      <c r="AD174" s="4">
        <v>45708</v>
      </c>
      <c r="AE174" s="4" t="str">
        <f t="shared" si="26"/>
        <v>Invalid</v>
      </c>
      <c r="AF174" t="s">
        <v>46</v>
      </c>
    </row>
    <row r="175" spans="1:32" x14ac:dyDescent="0.3">
      <c r="A175" t="s">
        <v>1118</v>
      </c>
      <c r="B175" s="4">
        <v>45655</v>
      </c>
      <c r="C175" t="s">
        <v>1119</v>
      </c>
      <c r="D175" t="s">
        <v>37</v>
      </c>
      <c r="E175" t="s">
        <v>1161</v>
      </c>
      <c r="F175" t="s">
        <v>66</v>
      </c>
      <c r="G175" t="s">
        <v>1120</v>
      </c>
      <c r="H175">
        <v>699</v>
      </c>
      <c r="I175" t="str">
        <f t="shared" si="18"/>
        <v>Normal</v>
      </c>
      <c r="J175">
        <v>2</v>
      </c>
      <c r="K175" t="str">
        <f t="shared" si="19"/>
        <v>Normal</v>
      </c>
      <c r="L175">
        <v>1398</v>
      </c>
      <c r="M175">
        <f t="shared" si="20"/>
        <v>1398</v>
      </c>
      <c r="N175" t="str">
        <f t="shared" si="21"/>
        <v>Match</v>
      </c>
      <c r="O175" s="1" t="s">
        <v>1140</v>
      </c>
      <c r="P175">
        <v>0</v>
      </c>
      <c r="Q175" t="str">
        <f t="shared" si="22"/>
        <v>Invalid</v>
      </c>
      <c r="R175" t="s">
        <v>100</v>
      </c>
      <c r="S175" t="s">
        <v>61</v>
      </c>
      <c r="T175" t="s">
        <v>87</v>
      </c>
      <c r="U175" t="s">
        <v>88</v>
      </c>
      <c r="V175" t="s">
        <v>30</v>
      </c>
      <c r="W175" s="4">
        <v>45681</v>
      </c>
      <c r="X175" s="4" t="str">
        <f t="shared" si="23"/>
        <v>Invalid</v>
      </c>
      <c r="Y175" t="s">
        <v>108</v>
      </c>
      <c r="Z175" t="str">
        <f t="shared" si="24"/>
        <v>Valid</v>
      </c>
      <c r="AA175" t="s">
        <v>44</v>
      </c>
      <c r="AB175" t="s">
        <v>64</v>
      </c>
      <c r="AC175" t="str">
        <f t="shared" si="25"/>
        <v>Valid</v>
      </c>
      <c r="AD175" s="4">
        <v>45708</v>
      </c>
      <c r="AE175" s="4" t="str">
        <f t="shared" si="26"/>
        <v>Invalid</v>
      </c>
      <c r="AF175" t="s">
        <v>46</v>
      </c>
    </row>
    <row r="176" spans="1:32" x14ac:dyDescent="0.3">
      <c r="A176" t="s">
        <v>1109</v>
      </c>
      <c r="B176" s="4">
        <v>45654</v>
      </c>
      <c r="C176" t="s">
        <v>1110</v>
      </c>
      <c r="D176" t="s">
        <v>25</v>
      </c>
      <c r="E176" t="s">
        <v>1338</v>
      </c>
      <c r="F176" t="s">
        <v>38</v>
      </c>
      <c r="G176" t="s">
        <v>1111</v>
      </c>
      <c r="H176">
        <v>4099</v>
      </c>
      <c r="I176" t="str">
        <f t="shared" si="18"/>
        <v>Normal</v>
      </c>
      <c r="J176">
        <v>1</v>
      </c>
      <c r="K176" t="str">
        <f t="shared" si="19"/>
        <v>Normal</v>
      </c>
      <c r="L176">
        <v>4099</v>
      </c>
      <c r="M176">
        <f t="shared" si="20"/>
        <v>4099</v>
      </c>
      <c r="N176" t="str">
        <f t="shared" si="21"/>
        <v>Match</v>
      </c>
      <c r="O176" s="1" t="s">
        <v>1140</v>
      </c>
      <c r="P176">
        <v>0</v>
      </c>
      <c r="Q176" t="str">
        <f t="shared" si="22"/>
        <v>Invalid</v>
      </c>
      <c r="R176" t="s">
        <v>41</v>
      </c>
      <c r="S176" t="s">
        <v>61</v>
      </c>
      <c r="T176" t="s">
        <v>62</v>
      </c>
      <c r="U176" t="s">
        <v>63</v>
      </c>
      <c r="V176" t="s">
        <v>53</v>
      </c>
      <c r="W176" s="4">
        <v>45681</v>
      </c>
      <c r="X176" s="4" t="str">
        <f t="shared" si="23"/>
        <v>Invalid</v>
      </c>
      <c r="Y176" t="s">
        <v>108</v>
      </c>
      <c r="Z176" t="str">
        <f t="shared" si="24"/>
        <v>Valid</v>
      </c>
      <c r="AA176" t="s">
        <v>44</v>
      </c>
      <c r="AB176" t="s">
        <v>45</v>
      </c>
      <c r="AC176" t="str">
        <f t="shared" si="25"/>
        <v>Valid</v>
      </c>
      <c r="AD176" s="4">
        <v>45709</v>
      </c>
      <c r="AE176" s="4" t="str">
        <f t="shared" si="26"/>
        <v>Invalid</v>
      </c>
      <c r="AF176" t="s">
        <v>46</v>
      </c>
    </row>
    <row r="177" spans="1:32" x14ac:dyDescent="0.3">
      <c r="A177" t="s">
        <v>1115</v>
      </c>
      <c r="B177" s="4">
        <v>45655</v>
      </c>
      <c r="C177" t="s">
        <v>1116</v>
      </c>
      <c r="D177" t="s">
        <v>25</v>
      </c>
      <c r="E177" t="s">
        <v>1371</v>
      </c>
      <c r="F177" t="s">
        <v>57</v>
      </c>
      <c r="G177" t="s">
        <v>1117</v>
      </c>
      <c r="H177">
        <v>5799</v>
      </c>
      <c r="I177" t="str">
        <f t="shared" si="18"/>
        <v>Normal</v>
      </c>
      <c r="J177">
        <v>1</v>
      </c>
      <c r="K177" t="str">
        <f t="shared" si="19"/>
        <v>Normal</v>
      </c>
      <c r="L177">
        <v>5799</v>
      </c>
      <c r="M177">
        <f t="shared" si="20"/>
        <v>5799</v>
      </c>
      <c r="N177" t="str">
        <f t="shared" si="21"/>
        <v>Match</v>
      </c>
      <c r="O177" s="1" t="s">
        <v>1140</v>
      </c>
      <c r="P177">
        <v>0</v>
      </c>
      <c r="Q177" t="str">
        <f t="shared" si="22"/>
        <v>Invalid</v>
      </c>
      <c r="R177" t="s">
        <v>52</v>
      </c>
      <c r="S177" t="s">
        <v>42</v>
      </c>
      <c r="T177" t="s">
        <v>77</v>
      </c>
      <c r="U177" t="s">
        <v>31</v>
      </c>
      <c r="V177" t="s">
        <v>30</v>
      </c>
      <c r="W177" s="4">
        <v>45682</v>
      </c>
      <c r="X177" s="4" t="str">
        <f t="shared" si="23"/>
        <v>Invalid</v>
      </c>
      <c r="Y177" t="s">
        <v>108</v>
      </c>
      <c r="Z177" t="str">
        <f t="shared" si="24"/>
        <v>Valid</v>
      </c>
      <c r="AA177" t="s">
        <v>44</v>
      </c>
      <c r="AB177" t="s">
        <v>73</v>
      </c>
      <c r="AC177" t="str">
        <f t="shared" si="25"/>
        <v>Valid</v>
      </c>
      <c r="AD177" s="4">
        <v>45710</v>
      </c>
      <c r="AE177" s="4" t="str">
        <f t="shared" si="26"/>
        <v>Invalid</v>
      </c>
      <c r="AF177" t="s">
        <v>46</v>
      </c>
    </row>
    <row r="178" spans="1:32" x14ac:dyDescent="0.3">
      <c r="A178" t="s">
        <v>1124</v>
      </c>
      <c r="B178" s="4">
        <v>45655</v>
      </c>
      <c r="C178" t="s">
        <v>1122</v>
      </c>
      <c r="D178" t="s">
        <v>25</v>
      </c>
      <c r="E178" t="s">
        <v>1317</v>
      </c>
      <c r="F178" t="s">
        <v>38</v>
      </c>
      <c r="G178" t="s">
        <v>1125</v>
      </c>
      <c r="H178">
        <v>3899</v>
      </c>
      <c r="I178" t="str">
        <f t="shared" si="18"/>
        <v>Normal</v>
      </c>
      <c r="J178">
        <v>1</v>
      </c>
      <c r="K178" t="str">
        <f t="shared" si="19"/>
        <v>Normal</v>
      </c>
      <c r="L178">
        <v>3899</v>
      </c>
      <c r="M178">
        <f t="shared" si="20"/>
        <v>3899</v>
      </c>
      <c r="N178" t="str">
        <f t="shared" si="21"/>
        <v>Match</v>
      </c>
      <c r="O178" s="1" t="s">
        <v>1140</v>
      </c>
      <c r="P178">
        <v>0</v>
      </c>
      <c r="Q178" t="str">
        <f t="shared" si="22"/>
        <v>Invalid</v>
      </c>
      <c r="R178" t="s">
        <v>41</v>
      </c>
      <c r="S178" t="s">
        <v>42</v>
      </c>
      <c r="T178" t="s">
        <v>101</v>
      </c>
      <c r="U178" t="s">
        <v>102</v>
      </c>
      <c r="V178" t="s">
        <v>43</v>
      </c>
      <c r="W178" s="4">
        <v>45683</v>
      </c>
      <c r="X178" s="4" t="str">
        <f t="shared" si="23"/>
        <v>Invalid</v>
      </c>
      <c r="Y178" t="s">
        <v>108</v>
      </c>
      <c r="Z178" t="str">
        <f t="shared" si="24"/>
        <v>Valid</v>
      </c>
      <c r="AA178" t="s">
        <v>44</v>
      </c>
      <c r="AB178" t="s">
        <v>45</v>
      </c>
      <c r="AC178" t="str">
        <f t="shared" si="25"/>
        <v>Valid</v>
      </c>
      <c r="AD178" s="4">
        <v>45711</v>
      </c>
      <c r="AE178" s="4" t="str">
        <f t="shared" si="26"/>
        <v>Invalid</v>
      </c>
      <c r="AF178" t="s">
        <v>46</v>
      </c>
    </row>
    <row r="179" spans="1:32" x14ac:dyDescent="0.3">
      <c r="A179" t="s">
        <v>1135</v>
      </c>
      <c r="B179" s="4">
        <v>45656</v>
      </c>
      <c r="C179" t="s">
        <v>1136</v>
      </c>
      <c r="D179" t="s">
        <v>25</v>
      </c>
      <c r="E179" t="s">
        <v>1410</v>
      </c>
      <c r="F179" t="s">
        <v>26</v>
      </c>
      <c r="G179" t="s">
        <v>1137</v>
      </c>
      <c r="H179">
        <v>2199</v>
      </c>
      <c r="I179" t="str">
        <f t="shared" si="18"/>
        <v>Normal</v>
      </c>
      <c r="J179">
        <v>1</v>
      </c>
      <c r="K179" t="str">
        <f t="shared" si="19"/>
        <v>Normal</v>
      </c>
      <c r="L179">
        <v>2199</v>
      </c>
      <c r="M179">
        <f t="shared" si="20"/>
        <v>2199</v>
      </c>
      <c r="N179" t="str">
        <f t="shared" si="21"/>
        <v>Match</v>
      </c>
      <c r="O179" s="1" t="s">
        <v>1140</v>
      </c>
      <c r="P179">
        <v>0</v>
      </c>
      <c r="Q179" t="str">
        <f t="shared" si="22"/>
        <v>Invalid</v>
      </c>
      <c r="R179" t="s">
        <v>60</v>
      </c>
      <c r="S179" t="s">
        <v>61</v>
      </c>
      <c r="T179" t="s">
        <v>106</v>
      </c>
      <c r="U179" t="s">
        <v>107</v>
      </c>
      <c r="V179" t="s">
        <v>43</v>
      </c>
      <c r="W179" s="4">
        <v>45684</v>
      </c>
      <c r="X179" s="4" t="str">
        <f t="shared" si="23"/>
        <v>Invalid</v>
      </c>
      <c r="Y179" t="s">
        <v>108</v>
      </c>
      <c r="Z179" t="str">
        <f t="shared" si="24"/>
        <v>Valid</v>
      </c>
      <c r="AA179" t="s">
        <v>44</v>
      </c>
      <c r="AB179" t="s">
        <v>122</v>
      </c>
      <c r="AC179" t="str">
        <f t="shared" si="25"/>
        <v>Valid</v>
      </c>
      <c r="AD179" s="4">
        <v>45711</v>
      </c>
      <c r="AE179" s="4" t="str">
        <f t="shared" si="26"/>
        <v>Invalid</v>
      </c>
      <c r="AF179" t="s">
        <v>46</v>
      </c>
    </row>
    <row r="180" spans="1:32" x14ac:dyDescent="0.3">
      <c r="A180" t="s">
        <v>1129</v>
      </c>
      <c r="B180" s="4">
        <v>45656</v>
      </c>
      <c r="C180" t="s">
        <v>1130</v>
      </c>
      <c r="D180" t="s">
        <v>25</v>
      </c>
      <c r="E180" t="s">
        <v>1364</v>
      </c>
      <c r="F180" t="s">
        <v>57</v>
      </c>
      <c r="G180" t="s">
        <v>1131</v>
      </c>
      <c r="H180">
        <v>4899</v>
      </c>
      <c r="I180" t="str">
        <f t="shared" si="18"/>
        <v>Normal</v>
      </c>
      <c r="J180">
        <v>1</v>
      </c>
      <c r="K180" t="str">
        <f t="shared" si="19"/>
        <v>Normal</v>
      </c>
      <c r="L180">
        <v>4899</v>
      </c>
      <c r="M180">
        <f t="shared" si="20"/>
        <v>3919.2000000000003</v>
      </c>
      <c r="N180" t="str">
        <f t="shared" si="21"/>
        <v>Mismatch</v>
      </c>
      <c r="O180" s="1">
        <v>44166</v>
      </c>
      <c r="P180">
        <v>20</v>
      </c>
      <c r="Q180" t="str">
        <f t="shared" si="22"/>
        <v>Invalid</v>
      </c>
      <c r="R180" t="s">
        <v>52</v>
      </c>
      <c r="S180" t="s">
        <v>29</v>
      </c>
      <c r="T180" t="s">
        <v>30</v>
      </c>
      <c r="U180" t="s">
        <v>31</v>
      </c>
      <c r="V180" t="s">
        <v>30</v>
      </c>
      <c r="W180" s="4">
        <v>45684</v>
      </c>
      <c r="X180" s="4" t="str">
        <f t="shared" si="23"/>
        <v>Invalid</v>
      </c>
      <c r="Y180" t="s">
        <v>108</v>
      </c>
      <c r="Z180" t="str">
        <f t="shared" si="24"/>
        <v>Valid</v>
      </c>
      <c r="AA180" t="s">
        <v>44</v>
      </c>
      <c r="AB180" t="s">
        <v>94</v>
      </c>
      <c r="AC180" t="str">
        <f t="shared" si="25"/>
        <v>Valid</v>
      </c>
      <c r="AD180" s="4">
        <v>45712</v>
      </c>
      <c r="AE180" s="4" t="str">
        <f t="shared" si="26"/>
        <v>Invalid</v>
      </c>
      <c r="AF180" t="s">
        <v>46</v>
      </c>
    </row>
    <row r="181" spans="1:32" x14ac:dyDescent="0.3">
      <c r="A181" t="s">
        <v>1138</v>
      </c>
      <c r="B181" s="4">
        <v>45657</v>
      </c>
      <c r="C181" t="s">
        <v>1139</v>
      </c>
      <c r="D181" t="s">
        <v>25</v>
      </c>
      <c r="E181" t="s">
        <v>1289</v>
      </c>
      <c r="F181" t="s">
        <v>38</v>
      </c>
      <c r="G181" t="s">
        <v>901</v>
      </c>
      <c r="H181">
        <v>4499</v>
      </c>
      <c r="I181" t="str">
        <f t="shared" si="18"/>
        <v>Normal</v>
      </c>
      <c r="J181">
        <v>1</v>
      </c>
      <c r="K181" t="str">
        <f t="shared" si="19"/>
        <v>Normal</v>
      </c>
      <c r="L181">
        <v>4499</v>
      </c>
      <c r="M181">
        <f t="shared" si="20"/>
        <v>3599.2000000000003</v>
      </c>
      <c r="N181" t="str">
        <f t="shared" si="21"/>
        <v>Mismatch</v>
      </c>
      <c r="O181" s="1">
        <v>44166</v>
      </c>
      <c r="P181">
        <v>20</v>
      </c>
      <c r="Q181" t="str">
        <f t="shared" si="22"/>
        <v>Invalid</v>
      </c>
      <c r="R181" t="s">
        <v>41</v>
      </c>
      <c r="S181" t="s">
        <v>29</v>
      </c>
      <c r="T181" t="s">
        <v>121</v>
      </c>
      <c r="U181" t="s">
        <v>102</v>
      </c>
      <c r="V181" t="s">
        <v>43</v>
      </c>
      <c r="W181" s="4">
        <v>45685</v>
      </c>
      <c r="X181" s="4" t="str">
        <f t="shared" si="23"/>
        <v>Invalid</v>
      </c>
      <c r="Y181" t="s">
        <v>108</v>
      </c>
      <c r="Z181" t="str">
        <f t="shared" si="24"/>
        <v>Valid</v>
      </c>
      <c r="AA181" t="s">
        <v>44</v>
      </c>
      <c r="AB181" t="s">
        <v>45</v>
      </c>
      <c r="AC181" t="str">
        <f t="shared" si="25"/>
        <v>Valid</v>
      </c>
      <c r="AD181" s="4">
        <v>45713</v>
      </c>
      <c r="AE181" s="4" t="str">
        <f t="shared" si="26"/>
        <v>Invalid</v>
      </c>
      <c r="AF181" t="s">
        <v>46</v>
      </c>
    </row>
    <row r="182" spans="1:32" x14ac:dyDescent="0.3">
      <c r="A182" t="s">
        <v>23</v>
      </c>
      <c r="B182" s="4">
        <v>45566</v>
      </c>
      <c r="C182" t="s">
        <v>24</v>
      </c>
      <c r="D182" t="s">
        <v>25</v>
      </c>
      <c r="E182" t="s">
        <v>1415</v>
      </c>
      <c r="F182" t="s">
        <v>26</v>
      </c>
      <c r="G182" t="s">
        <v>27</v>
      </c>
      <c r="H182">
        <v>1299</v>
      </c>
      <c r="I182" t="str">
        <f t="shared" si="18"/>
        <v>Normal</v>
      </c>
      <c r="J182">
        <v>2</v>
      </c>
      <c r="K182" t="str">
        <f t="shared" si="19"/>
        <v>Normal</v>
      </c>
      <c r="L182">
        <v>2598</v>
      </c>
      <c r="M182">
        <f t="shared" si="20"/>
        <v>2598</v>
      </c>
      <c r="N182" t="str">
        <f t="shared" si="21"/>
        <v>Match</v>
      </c>
      <c r="O182" t="s">
        <v>1140</v>
      </c>
      <c r="P182">
        <v>0</v>
      </c>
      <c r="Q182" t="str">
        <f t="shared" si="22"/>
        <v>Invalid</v>
      </c>
      <c r="R182" t="s">
        <v>28</v>
      </c>
      <c r="S182" t="s">
        <v>29</v>
      </c>
      <c r="T182" t="s">
        <v>30</v>
      </c>
      <c r="U182" t="s">
        <v>31</v>
      </c>
      <c r="V182" t="s">
        <v>30</v>
      </c>
      <c r="W182" s="4">
        <v>45570</v>
      </c>
      <c r="X182" s="4" t="str">
        <f t="shared" si="23"/>
        <v>Invalid</v>
      </c>
      <c r="Y182" t="s">
        <v>78</v>
      </c>
      <c r="Z182" t="str">
        <f t="shared" si="24"/>
        <v>Invalid</v>
      </c>
      <c r="AA182" t="s">
        <v>33</v>
      </c>
      <c r="AB182" t="s">
        <v>1141</v>
      </c>
      <c r="AC182" t="str">
        <f t="shared" si="25"/>
        <v>Not Applicable</v>
      </c>
      <c r="AE182" s="4" t="str">
        <f t="shared" si="26"/>
        <v>Not Applicable</v>
      </c>
      <c r="AF182" t="s">
        <v>34</v>
      </c>
    </row>
    <row r="183" spans="1:32" x14ac:dyDescent="0.3">
      <c r="A183" t="s">
        <v>625</v>
      </c>
      <c r="B183" s="4">
        <v>45611</v>
      </c>
      <c r="C183" t="s">
        <v>626</v>
      </c>
      <c r="D183" t="s">
        <v>37</v>
      </c>
      <c r="E183" t="s">
        <v>1255</v>
      </c>
      <c r="F183" t="s">
        <v>50</v>
      </c>
      <c r="G183" t="s">
        <v>627</v>
      </c>
      <c r="H183">
        <v>2099</v>
      </c>
      <c r="I183" t="str">
        <f t="shared" si="18"/>
        <v>Normal</v>
      </c>
      <c r="J183">
        <v>1</v>
      </c>
      <c r="K183" t="str">
        <f t="shared" si="19"/>
        <v>Normal</v>
      </c>
      <c r="L183">
        <v>2099</v>
      </c>
      <c r="M183">
        <f t="shared" si="20"/>
        <v>2099</v>
      </c>
      <c r="N183" t="str">
        <f t="shared" si="21"/>
        <v>Match</v>
      </c>
      <c r="O183" t="s">
        <v>1140</v>
      </c>
      <c r="P183">
        <v>0</v>
      </c>
      <c r="Q183" t="str">
        <f t="shared" si="22"/>
        <v>Invalid</v>
      </c>
      <c r="R183" t="s">
        <v>41</v>
      </c>
      <c r="S183" t="s">
        <v>29</v>
      </c>
      <c r="T183" t="s">
        <v>87</v>
      </c>
      <c r="U183" t="s">
        <v>88</v>
      </c>
      <c r="V183" t="s">
        <v>30</v>
      </c>
      <c r="W183" s="4">
        <v>45624</v>
      </c>
      <c r="X183" s="4" t="str">
        <f t="shared" si="23"/>
        <v>Invalid</v>
      </c>
      <c r="Y183" t="s">
        <v>32</v>
      </c>
      <c r="Z183" t="str">
        <f t="shared" si="24"/>
        <v>Valid</v>
      </c>
      <c r="AA183" t="s">
        <v>33</v>
      </c>
      <c r="AB183" t="s">
        <v>1141</v>
      </c>
      <c r="AC183" t="str">
        <f t="shared" si="25"/>
        <v>Not Applicable</v>
      </c>
      <c r="AE183" s="4" t="str">
        <f t="shared" si="26"/>
        <v>Not Applicable</v>
      </c>
      <c r="AF183" t="s">
        <v>34</v>
      </c>
    </row>
    <row r="184" spans="1:32" x14ac:dyDescent="0.3">
      <c r="A184" t="s">
        <v>369</v>
      </c>
      <c r="B184" s="4">
        <v>45588</v>
      </c>
      <c r="C184" t="s">
        <v>370</v>
      </c>
      <c r="D184" t="s">
        <v>25</v>
      </c>
      <c r="E184" t="s">
        <v>1387</v>
      </c>
      <c r="F184" t="s">
        <v>57</v>
      </c>
      <c r="G184" t="s">
        <v>371</v>
      </c>
      <c r="H184">
        <v>4299</v>
      </c>
      <c r="I184" t="str">
        <f t="shared" si="18"/>
        <v>Normal</v>
      </c>
      <c r="J184">
        <v>1</v>
      </c>
      <c r="K184" t="str">
        <f t="shared" si="19"/>
        <v>Normal</v>
      </c>
      <c r="L184">
        <v>4299</v>
      </c>
      <c r="M184">
        <f t="shared" si="20"/>
        <v>4299</v>
      </c>
      <c r="N184" t="str">
        <f t="shared" si="21"/>
        <v>Match</v>
      </c>
      <c r="O184" t="s">
        <v>1140</v>
      </c>
      <c r="P184">
        <v>0</v>
      </c>
      <c r="Q184" t="str">
        <f t="shared" si="22"/>
        <v>Invalid</v>
      </c>
      <c r="R184" t="s">
        <v>41</v>
      </c>
      <c r="S184" t="s">
        <v>29</v>
      </c>
      <c r="T184" t="s">
        <v>87</v>
      </c>
      <c r="U184" t="s">
        <v>88</v>
      </c>
      <c r="V184" t="s">
        <v>30</v>
      </c>
      <c r="W184" s="4">
        <v>45601</v>
      </c>
      <c r="X184" s="4" t="str">
        <f t="shared" si="23"/>
        <v>Invalid</v>
      </c>
      <c r="Y184" t="s">
        <v>32</v>
      </c>
      <c r="Z184" t="str">
        <f t="shared" si="24"/>
        <v>Valid</v>
      </c>
      <c r="AA184" t="s">
        <v>33</v>
      </c>
      <c r="AB184" t="s">
        <v>1141</v>
      </c>
      <c r="AC184" t="str">
        <f t="shared" si="25"/>
        <v>Not Applicable</v>
      </c>
      <c r="AE184" s="4" t="str">
        <f t="shared" si="26"/>
        <v>Not Applicable</v>
      </c>
      <c r="AF184" t="s">
        <v>34</v>
      </c>
    </row>
    <row r="185" spans="1:32" x14ac:dyDescent="0.3">
      <c r="A185" t="s">
        <v>865</v>
      </c>
      <c r="B185" s="4">
        <v>45634</v>
      </c>
      <c r="C185" t="s">
        <v>866</v>
      </c>
      <c r="D185" t="s">
        <v>25</v>
      </c>
      <c r="E185" t="s">
        <v>1204</v>
      </c>
      <c r="F185" t="s">
        <v>66</v>
      </c>
      <c r="G185" t="s">
        <v>867</v>
      </c>
      <c r="H185">
        <v>999</v>
      </c>
      <c r="I185" t="str">
        <f t="shared" si="18"/>
        <v>Normal</v>
      </c>
      <c r="J185">
        <v>1</v>
      </c>
      <c r="K185" t="str">
        <f t="shared" si="19"/>
        <v>Normal</v>
      </c>
      <c r="L185">
        <v>999</v>
      </c>
      <c r="M185">
        <f t="shared" si="20"/>
        <v>999</v>
      </c>
      <c r="N185" t="str">
        <f t="shared" si="21"/>
        <v>Match</v>
      </c>
      <c r="O185" s="1" t="s">
        <v>1140</v>
      </c>
      <c r="P185">
        <v>0</v>
      </c>
      <c r="Q185" t="str">
        <f t="shared" si="22"/>
        <v>Invalid</v>
      </c>
      <c r="R185" t="s">
        <v>100</v>
      </c>
      <c r="S185" t="s">
        <v>42</v>
      </c>
      <c r="T185" t="s">
        <v>87</v>
      </c>
      <c r="U185" t="s">
        <v>88</v>
      </c>
      <c r="V185" t="s">
        <v>30</v>
      </c>
      <c r="W185" s="4">
        <v>45648</v>
      </c>
      <c r="X185" s="4" t="str">
        <f t="shared" si="23"/>
        <v>Invalid</v>
      </c>
      <c r="Y185" t="s">
        <v>32</v>
      </c>
      <c r="Z185" t="str">
        <f t="shared" si="24"/>
        <v>Valid</v>
      </c>
      <c r="AA185" t="s">
        <v>33</v>
      </c>
      <c r="AB185" t="s">
        <v>1141</v>
      </c>
      <c r="AC185" t="str">
        <f t="shared" si="25"/>
        <v>Not Applicable</v>
      </c>
      <c r="AE185" s="4" t="str">
        <f t="shared" si="26"/>
        <v>Not Applicable</v>
      </c>
      <c r="AF185" t="s">
        <v>34</v>
      </c>
    </row>
    <row r="186" spans="1:32" x14ac:dyDescent="0.3">
      <c r="A186" t="s">
        <v>47</v>
      </c>
      <c r="B186" s="4">
        <v>45301</v>
      </c>
      <c r="C186" t="s">
        <v>48</v>
      </c>
      <c r="D186" t="s">
        <v>49</v>
      </c>
      <c r="E186" t="s">
        <v>1239</v>
      </c>
      <c r="F186" t="s">
        <v>50</v>
      </c>
      <c r="G186" t="s">
        <v>51</v>
      </c>
      <c r="H186">
        <v>1899</v>
      </c>
      <c r="I186" t="str">
        <f t="shared" si="18"/>
        <v>Normal</v>
      </c>
      <c r="J186">
        <v>1</v>
      </c>
      <c r="K186" t="str">
        <f t="shared" si="19"/>
        <v>Normal</v>
      </c>
      <c r="L186">
        <v>1899</v>
      </c>
      <c r="M186">
        <f t="shared" si="20"/>
        <v>1899</v>
      </c>
      <c r="N186" t="str">
        <f t="shared" si="21"/>
        <v>Match</v>
      </c>
      <c r="O186" t="s">
        <v>1140</v>
      </c>
      <c r="P186">
        <v>0</v>
      </c>
      <c r="Q186" t="str">
        <f t="shared" si="22"/>
        <v>Invalid</v>
      </c>
      <c r="R186" t="s">
        <v>52</v>
      </c>
      <c r="S186" t="s">
        <v>29</v>
      </c>
      <c r="T186" t="s">
        <v>53</v>
      </c>
      <c r="U186" t="s">
        <v>54</v>
      </c>
      <c r="V186" t="s">
        <v>53</v>
      </c>
      <c r="W186" s="4">
        <v>45571</v>
      </c>
      <c r="X186" s="4" t="str">
        <f t="shared" si="23"/>
        <v>Invalid</v>
      </c>
      <c r="Y186" t="s">
        <v>32</v>
      </c>
      <c r="Z186" t="str">
        <f t="shared" si="24"/>
        <v>Valid</v>
      </c>
      <c r="AA186" t="s">
        <v>33</v>
      </c>
      <c r="AB186" t="s">
        <v>1141</v>
      </c>
      <c r="AC186" t="str">
        <f t="shared" si="25"/>
        <v>Not Applicable</v>
      </c>
      <c r="AE186" s="4" t="str">
        <f t="shared" si="26"/>
        <v>Not Applicable</v>
      </c>
      <c r="AF186" t="s">
        <v>34</v>
      </c>
    </row>
    <row r="187" spans="1:32" x14ac:dyDescent="0.3">
      <c r="A187" t="s">
        <v>378</v>
      </c>
      <c r="B187" s="4">
        <v>45589</v>
      </c>
      <c r="C187" t="s">
        <v>379</v>
      </c>
      <c r="D187" t="s">
        <v>25</v>
      </c>
      <c r="E187" t="s">
        <v>1325</v>
      </c>
      <c r="F187" t="s">
        <v>38</v>
      </c>
      <c r="G187" t="s">
        <v>380</v>
      </c>
      <c r="H187">
        <v>2399</v>
      </c>
      <c r="I187" t="str">
        <f t="shared" si="18"/>
        <v>Normal</v>
      </c>
      <c r="J187">
        <v>1</v>
      </c>
      <c r="K187" t="str">
        <f t="shared" si="19"/>
        <v>Normal</v>
      </c>
      <c r="L187">
        <v>2399</v>
      </c>
      <c r="M187">
        <f t="shared" si="20"/>
        <v>2399</v>
      </c>
      <c r="N187" t="str">
        <f t="shared" si="21"/>
        <v>Match</v>
      </c>
      <c r="O187" t="s">
        <v>1140</v>
      </c>
      <c r="P187">
        <v>0</v>
      </c>
      <c r="Q187" t="str">
        <f t="shared" si="22"/>
        <v>Invalid</v>
      </c>
      <c r="R187" t="s">
        <v>41</v>
      </c>
      <c r="S187" t="s">
        <v>29</v>
      </c>
      <c r="T187" t="s">
        <v>53</v>
      </c>
      <c r="U187" t="s">
        <v>54</v>
      </c>
      <c r="V187" t="s">
        <v>53</v>
      </c>
      <c r="W187" s="4">
        <v>45600</v>
      </c>
      <c r="X187" s="4" t="str">
        <f t="shared" si="23"/>
        <v>Invalid</v>
      </c>
      <c r="Y187" t="s">
        <v>32</v>
      </c>
      <c r="Z187" t="str">
        <f t="shared" si="24"/>
        <v>Valid</v>
      </c>
      <c r="AA187" t="s">
        <v>33</v>
      </c>
      <c r="AB187" t="s">
        <v>1141</v>
      </c>
      <c r="AC187" t="str">
        <f t="shared" si="25"/>
        <v>Not Applicable</v>
      </c>
      <c r="AE187" s="4" t="str">
        <f t="shared" si="26"/>
        <v>Not Applicable</v>
      </c>
      <c r="AF187" t="s">
        <v>34</v>
      </c>
    </row>
    <row r="188" spans="1:32" x14ac:dyDescent="0.3">
      <c r="A188" t="s">
        <v>550</v>
      </c>
      <c r="B188" s="4">
        <v>45602</v>
      </c>
      <c r="C188" t="s">
        <v>551</v>
      </c>
      <c r="D188" t="s">
        <v>37</v>
      </c>
      <c r="E188" t="s">
        <v>1240</v>
      </c>
      <c r="F188" t="s">
        <v>50</v>
      </c>
      <c r="G188" t="s">
        <v>552</v>
      </c>
      <c r="H188">
        <v>1699</v>
      </c>
      <c r="I188" t="str">
        <f t="shared" si="18"/>
        <v>Normal</v>
      </c>
      <c r="J188">
        <v>1</v>
      </c>
      <c r="K188" t="str">
        <f t="shared" si="19"/>
        <v>Normal</v>
      </c>
      <c r="L188">
        <v>1699</v>
      </c>
      <c r="M188">
        <f t="shared" si="20"/>
        <v>1444.1499999999999</v>
      </c>
      <c r="N188" t="str">
        <f t="shared" si="21"/>
        <v>Mismatch</v>
      </c>
      <c r="O188" s="1">
        <v>42309</v>
      </c>
      <c r="P188">
        <v>15</v>
      </c>
      <c r="Q188" t="str">
        <f t="shared" si="22"/>
        <v>Invalid</v>
      </c>
      <c r="R188" t="s">
        <v>60</v>
      </c>
      <c r="S188" t="s">
        <v>61</v>
      </c>
      <c r="T188" t="s">
        <v>53</v>
      </c>
      <c r="U188" t="s">
        <v>54</v>
      </c>
      <c r="V188" t="s">
        <v>53</v>
      </c>
      <c r="W188" s="4">
        <v>45614</v>
      </c>
      <c r="X188" s="4" t="str">
        <f t="shared" si="23"/>
        <v>Invalid</v>
      </c>
      <c r="Y188" t="s">
        <v>32</v>
      </c>
      <c r="Z188" t="str">
        <f t="shared" si="24"/>
        <v>Valid</v>
      </c>
      <c r="AA188" t="s">
        <v>33</v>
      </c>
      <c r="AB188" t="s">
        <v>1141</v>
      </c>
      <c r="AC188" t="str">
        <f t="shared" si="25"/>
        <v>Not Applicable</v>
      </c>
      <c r="AE188" s="4" t="str">
        <f t="shared" si="26"/>
        <v>Not Applicable</v>
      </c>
      <c r="AF188" t="s">
        <v>34</v>
      </c>
    </row>
    <row r="189" spans="1:32" x14ac:dyDescent="0.3">
      <c r="A189" t="s">
        <v>115</v>
      </c>
      <c r="B189" s="4">
        <v>45568</v>
      </c>
      <c r="C189" t="s">
        <v>116</v>
      </c>
      <c r="D189" t="s">
        <v>25</v>
      </c>
      <c r="E189" t="s">
        <v>1356</v>
      </c>
      <c r="F189" t="s">
        <v>57</v>
      </c>
      <c r="G189" t="s">
        <v>117</v>
      </c>
      <c r="H189">
        <v>2799</v>
      </c>
      <c r="I189" t="str">
        <f t="shared" si="18"/>
        <v>Normal</v>
      </c>
      <c r="J189">
        <v>1</v>
      </c>
      <c r="K189" t="str">
        <f t="shared" si="19"/>
        <v>Normal</v>
      </c>
      <c r="L189">
        <v>2799</v>
      </c>
      <c r="M189">
        <f t="shared" si="20"/>
        <v>2799</v>
      </c>
      <c r="N189" t="str">
        <f t="shared" si="21"/>
        <v>Match</v>
      </c>
      <c r="O189" t="s">
        <v>1140</v>
      </c>
      <c r="P189">
        <v>0</v>
      </c>
      <c r="Q189" t="str">
        <f t="shared" si="22"/>
        <v>Invalid</v>
      </c>
      <c r="R189" t="s">
        <v>60</v>
      </c>
      <c r="S189" t="s">
        <v>42</v>
      </c>
      <c r="T189" t="s">
        <v>53</v>
      </c>
      <c r="U189" t="s">
        <v>54</v>
      </c>
      <c r="V189" t="s">
        <v>53</v>
      </c>
      <c r="W189" s="4">
        <v>45577</v>
      </c>
      <c r="X189" s="4" t="str">
        <f t="shared" si="23"/>
        <v>Invalid</v>
      </c>
      <c r="Y189" t="s">
        <v>32</v>
      </c>
      <c r="Z189" t="str">
        <f t="shared" si="24"/>
        <v>Valid</v>
      </c>
      <c r="AA189" t="s">
        <v>33</v>
      </c>
      <c r="AB189" t="s">
        <v>1141</v>
      </c>
      <c r="AC189" t="str">
        <f t="shared" si="25"/>
        <v>Not Applicable</v>
      </c>
      <c r="AE189" s="4" t="str">
        <f t="shared" si="26"/>
        <v>Not Applicable</v>
      </c>
      <c r="AF189" t="s">
        <v>34</v>
      </c>
    </row>
    <row r="190" spans="1:32" x14ac:dyDescent="0.3">
      <c r="A190" t="s">
        <v>295</v>
      </c>
      <c r="B190" s="4">
        <v>45582</v>
      </c>
      <c r="C190" t="s">
        <v>296</v>
      </c>
      <c r="D190" t="s">
        <v>25</v>
      </c>
      <c r="E190" t="s">
        <v>1392</v>
      </c>
      <c r="F190" t="s">
        <v>57</v>
      </c>
      <c r="G190" t="s">
        <v>297</v>
      </c>
      <c r="H190">
        <v>1299</v>
      </c>
      <c r="I190" t="str">
        <f t="shared" si="18"/>
        <v>Normal</v>
      </c>
      <c r="J190">
        <v>1</v>
      </c>
      <c r="K190" t="str">
        <f t="shared" si="19"/>
        <v>Normal</v>
      </c>
      <c r="L190">
        <v>1299</v>
      </c>
      <c r="M190">
        <f t="shared" si="20"/>
        <v>1299</v>
      </c>
      <c r="N190" t="str">
        <f t="shared" si="21"/>
        <v>Match</v>
      </c>
      <c r="O190" t="s">
        <v>1140</v>
      </c>
      <c r="P190">
        <v>0</v>
      </c>
      <c r="Q190" t="str">
        <f t="shared" si="22"/>
        <v>Invalid</v>
      </c>
      <c r="R190" t="s">
        <v>60</v>
      </c>
      <c r="S190" t="s">
        <v>42</v>
      </c>
      <c r="T190" t="s">
        <v>53</v>
      </c>
      <c r="U190" t="s">
        <v>54</v>
      </c>
      <c r="V190" t="s">
        <v>53</v>
      </c>
      <c r="W190" s="4">
        <v>45593</v>
      </c>
      <c r="X190" s="4" t="str">
        <f t="shared" si="23"/>
        <v>Invalid</v>
      </c>
      <c r="Y190" t="s">
        <v>32</v>
      </c>
      <c r="Z190" t="str">
        <f t="shared" si="24"/>
        <v>Valid</v>
      </c>
      <c r="AA190" t="s">
        <v>33</v>
      </c>
      <c r="AB190" t="s">
        <v>1141</v>
      </c>
      <c r="AC190" t="str">
        <f t="shared" si="25"/>
        <v>Not Applicable</v>
      </c>
      <c r="AE190" s="4" t="str">
        <f t="shared" si="26"/>
        <v>Not Applicable</v>
      </c>
      <c r="AF190" t="s">
        <v>34</v>
      </c>
    </row>
    <row r="191" spans="1:32" x14ac:dyDescent="0.3">
      <c r="A191" t="s">
        <v>862</v>
      </c>
      <c r="B191" s="4">
        <v>45633</v>
      </c>
      <c r="C191" t="s">
        <v>863</v>
      </c>
      <c r="D191" t="s">
        <v>37</v>
      </c>
      <c r="E191" t="s">
        <v>1346</v>
      </c>
      <c r="F191" t="s">
        <v>57</v>
      </c>
      <c r="G191" t="s">
        <v>864</v>
      </c>
      <c r="H191">
        <v>5499</v>
      </c>
      <c r="I191" t="str">
        <f t="shared" si="18"/>
        <v>Normal</v>
      </c>
      <c r="J191">
        <v>1</v>
      </c>
      <c r="K191" t="str">
        <f t="shared" si="19"/>
        <v>Normal</v>
      </c>
      <c r="L191">
        <v>5499</v>
      </c>
      <c r="M191">
        <f t="shared" si="20"/>
        <v>4399.2</v>
      </c>
      <c r="N191" t="str">
        <f t="shared" si="21"/>
        <v>Mismatch</v>
      </c>
      <c r="O191" s="1">
        <v>44166</v>
      </c>
      <c r="P191">
        <v>20</v>
      </c>
      <c r="Q191" t="str">
        <f t="shared" si="22"/>
        <v>Invalid</v>
      </c>
      <c r="R191" t="s">
        <v>28</v>
      </c>
      <c r="S191" t="s">
        <v>29</v>
      </c>
      <c r="T191" t="s">
        <v>53</v>
      </c>
      <c r="U191" t="s">
        <v>54</v>
      </c>
      <c r="V191" t="s">
        <v>53</v>
      </c>
      <c r="W191" s="4">
        <v>45647</v>
      </c>
      <c r="X191" s="4" t="str">
        <f t="shared" si="23"/>
        <v>Invalid</v>
      </c>
      <c r="Y191" t="s">
        <v>32</v>
      </c>
      <c r="Z191" t="str">
        <f t="shared" si="24"/>
        <v>Valid</v>
      </c>
      <c r="AA191" t="s">
        <v>33</v>
      </c>
      <c r="AB191" t="s">
        <v>1141</v>
      </c>
      <c r="AC191" t="str">
        <f t="shared" si="25"/>
        <v>Not Applicable</v>
      </c>
      <c r="AE191" s="4" t="str">
        <f t="shared" si="26"/>
        <v>Not Applicable</v>
      </c>
      <c r="AF191" t="s">
        <v>34</v>
      </c>
    </row>
    <row r="192" spans="1:32" x14ac:dyDescent="0.3">
      <c r="A192" t="s">
        <v>1043</v>
      </c>
      <c r="B192" s="4">
        <v>45649</v>
      </c>
      <c r="C192" t="s">
        <v>1044</v>
      </c>
      <c r="D192" t="s">
        <v>37</v>
      </c>
      <c r="E192" t="s">
        <v>1206</v>
      </c>
      <c r="F192" t="s">
        <v>66</v>
      </c>
      <c r="G192" t="s">
        <v>1045</v>
      </c>
      <c r="H192">
        <v>1199</v>
      </c>
      <c r="I192" t="str">
        <f t="shared" si="18"/>
        <v>Normal</v>
      </c>
      <c r="J192">
        <v>1</v>
      </c>
      <c r="K192" t="str">
        <f t="shared" si="19"/>
        <v>Normal</v>
      </c>
      <c r="L192">
        <v>1199</v>
      </c>
      <c r="M192">
        <f t="shared" si="20"/>
        <v>1199</v>
      </c>
      <c r="N192" t="str">
        <f t="shared" si="21"/>
        <v>Match</v>
      </c>
      <c r="O192" s="1" t="s">
        <v>1140</v>
      </c>
      <c r="P192">
        <v>0</v>
      </c>
      <c r="Q192" t="str">
        <f t="shared" si="22"/>
        <v>Invalid</v>
      </c>
      <c r="R192" t="s">
        <v>100</v>
      </c>
      <c r="S192" t="s">
        <v>42</v>
      </c>
      <c r="T192" t="s">
        <v>53</v>
      </c>
      <c r="U192" t="s">
        <v>54</v>
      </c>
      <c r="V192" t="s">
        <v>53</v>
      </c>
      <c r="W192" s="4">
        <v>45671</v>
      </c>
      <c r="X192" s="4" t="str">
        <f t="shared" si="23"/>
        <v>Invalid</v>
      </c>
      <c r="Y192" t="s">
        <v>32</v>
      </c>
      <c r="Z192" t="str">
        <f t="shared" si="24"/>
        <v>Valid</v>
      </c>
      <c r="AA192" t="s">
        <v>33</v>
      </c>
      <c r="AB192" t="s">
        <v>1141</v>
      </c>
      <c r="AC192" t="str">
        <f t="shared" si="25"/>
        <v>Not Applicable</v>
      </c>
      <c r="AE192" s="4" t="str">
        <f t="shared" si="26"/>
        <v>Not Applicable</v>
      </c>
      <c r="AF192" t="s">
        <v>34</v>
      </c>
    </row>
    <row r="193" spans="1:32" x14ac:dyDescent="0.3">
      <c r="A193" t="s">
        <v>634</v>
      </c>
      <c r="B193" s="4">
        <v>45612</v>
      </c>
      <c r="C193" t="s">
        <v>635</v>
      </c>
      <c r="D193" t="s">
        <v>25</v>
      </c>
      <c r="E193" t="s">
        <v>1453</v>
      </c>
      <c r="F193" t="s">
        <v>26</v>
      </c>
      <c r="G193" t="s">
        <v>636</v>
      </c>
      <c r="H193">
        <v>1499</v>
      </c>
      <c r="I193" t="str">
        <f t="shared" si="18"/>
        <v>Normal</v>
      </c>
      <c r="J193">
        <v>1</v>
      </c>
      <c r="K193" t="str">
        <f t="shared" si="19"/>
        <v>Normal</v>
      </c>
      <c r="L193">
        <v>1499</v>
      </c>
      <c r="M193">
        <f t="shared" si="20"/>
        <v>1274.1499999999999</v>
      </c>
      <c r="N193" t="str">
        <f t="shared" si="21"/>
        <v>Mismatch</v>
      </c>
      <c r="O193" s="1">
        <v>42309</v>
      </c>
      <c r="P193">
        <v>15</v>
      </c>
      <c r="Q193" t="str">
        <f t="shared" si="22"/>
        <v>Invalid</v>
      </c>
      <c r="R193" t="s">
        <v>100</v>
      </c>
      <c r="S193" t="s">
        <v>29</v>
      </c>
      <c r="T193" t="s">
        <v>53</v>
      </c>
      <c r="U193" t="s">
        <v>54</v>
      </c>
      <c r="V193" t="s">
        <v>53</v>
      </c>
      <c r="W193" s="4">
        <v>45625</v>
      </c>
      <c r="X193" s="4" t="str">
        <f t="shared" si="23"/>
        <v>Invalid</v>
      </c>
      <c r="Y193" t="s">
        <v>32</v>
      </c>
      <c r="Z193" t="str">
        <f t="shared" si="24"/>
        <v>Valid</v>
      </c>
      <c r="AA193" t="s">
        <v>33</v>
      </c>
      <c r="AB193" t="s">
        <v>1141</v>
      </c>
      <c r="AC193" t="str">
        <f t="shared" si="25"/>
        <v>Not Applicable</v>
      </c>
      <c r="AE193" s="4" t="str">
        <f t="shared" si="26"/>
        <v>Not Applicable</v>
      </c>
      <c r="AF193" t="s">
        <v>34</v>
      </c>
    </row>
    <row r="194" spans="1:32" x14ac:dyDescent="0.3">
      <c r="A194" t="s">
        <v>661</v>
      </c>
      <c r="B194" s="4">
        <v>45615</v>
      </c>
      <c r="C194" t="s">
        <v>662</v>
      </c>
      <c r="D194" t="s">
        <v>25</v>
      </c>
      <c r="E194" t="s">
        <v>1153</v>
      </c>
      <c r="F194" t="s">
        <v>66</v>
      </c>
      <c r="G194" t="s">
        <v>663</v>
      </c>
      <c r="H194">
        <v>499</v>
      </c>
      <c r="I194" t="str">
        <f t="shared" ref="I194:I257" si="27">IF(OR(H194&lt;=0,H194&gt;50000),"Outlier","Normal")</f>
        <v>Normal</v>
      </c>
      <c r="J194">
        <v>2</v>
      </c>
      <c r="K194" t="str">
        <f t="shared" ref="K194:K257" si="28">IF(J194&gt;10,"Outlier","Normal")</f>
        <v>Normal</v>
      </c>
      <c r="L194">
        <v>998</v>
      </c>
      <c r="M194">
        <f t="shared" ref="M194:M257" si="29">H194*J194*(1-(P194/100))</f>
        <v>998</v>
      </c>
      <c r="N194" t="str">
        <f t="shared" ref="N194:N257" si="30">IF(ABS(L194-M194)&lt;1,"Match","Mismatch")</f>
        <v>Match</v>
      </c>
      <c r="O194" t="s">
        <v>1140</v>
      </c>
      <c r="P194">
        <v>0</v>
      </c>
      <c r="Q194" t="str">
        <f t="shared" ref="Q194:Q257" si="31">IF(OR(P194&lt;0,C194&gt;100),"Invalid","valid")</f>
        <v>Invalid</v>
      </c>
      <c r="R194" t="s">
        <v>41</v>
      </c>
      <c r="S194" t="s">
        <v>29</v>
      </c>
      <c r="T194" t="s">
        <v>145</v>
      </c>
      <c r="U194" t="s">
        <v>132</v>
      </c>
      <c r="V194" t="s">
        <v>30</v>
      </c>
      <c r="W194" s="4">
        <v>45628</v>
      </c>
      <c r="X194" s="4" t="str">
        <f t="shared" ref="X194:X257" si="32">IF(AND(B194&lt;&gt;"",W194&lt;&gt;""),IF(B194&lt;D194,"Invalid","Valid"),"Not applicable")</f>
        <v>Invalid</v>
      </c>
      <c r="Y194" t="s">
        <v>32</v>
      </c>
      <c r="Z194" t="str">
        <f t="shared" ref="Z194:Z257" si="33">IF(AND(Y194="Cancelled",W194&lt;&gt;""),"Invalid","Valid")</f>
        <v>Valid</v>
      </c>
      <c r="AA194" t="s">
        <v>33</v>
      </c>
      <c r="AB194" t="s">
        <v>1141</v>
      </c>
      <c r="AC194" t="str">
        <f t="shared" ref="AC194:AC257" si="34">IF(AA194="Yes",
   IF(OR(AB194="", AB194="Not Applicable"), "Missing Reason", "Valid"),
   "Not Applicable")</f>
        <v>Not Applicable</v>
      </c>
      <c r="AE194" s="4" t="str">
        <f t="shared" ref="AE194:AE257" si="35">IF(AND(W194&lt;&gt;"",AD194&lt;&gt;""),IF(W194&lt;AD194,"Invalid","Valid"),"Not Applicable")</f>
        <v>Not Applicable</v>
      </c>
      <c r="AF194" t="s">
        <v>34</v>
      </c>
    </row>
    <row r="195" spans="1:32" x14ac:dyDescent="0.3">
      <c r="A195" t="s">
        <v>238</v>
      </c>
      <c r="B195" s="4">
        <v>45577</v>
      </c>
      <c r="C195" t="s">
        <v>239</v>
      </c>
      <c r="D195" t="s">
        <v>25</v>
      </c>
      <c r="E195" t="s">
        <v>1162</v>
      </c>
      <c r="F195" t="s">
        <v>66</v>
      </c>
      <c r="G195" t="s">
        <v>240</v>
      </c>
      <c r="H195">
        <v>799</v>
      </c>
      <c r="I195" t="str">
        <f t="shared" si="27"/>
        <v>Normal</v>
      </c>
      <c r="J195">
        <v>2</v>
      </c>
      <c r="K195" t="str">
        <f t="shared" si="28"/>
        <v>Normal</v>
      </c>
      <c r="L195">
        <v>1598</v>
      </c>
      <c r="M195">
        <f t="shared" si="29"/>
        <v>1598</v>
      </c>
      <c r="N195" t="str">
        <f t="shared" si="30"/>
        <v>Match</v>
      </c>
      <c r="O195" t="s">
        <v>1140</v>
      </c>
      <c r="P195">
        <v>0</v>
      </c>
      <c r="Q195" t="str">
        <f t="shared" si="31"/>
        <v>Invalid</v>
      </c>
      <c r="R195" t="s">
        <v>28</v>
      </c>
      <c r="S195" t="s">
        <v>29</v>
      </c>
      <c r="T195" t="s">
        <v>145</v>
      </c>
      <c r="U195" t="s">
        <v>132</v>
      </c>
      <c r="V195" t="s">
        <v>30</v>
      </c>
      <c r="W195" s="4">
        <v>45585</v>
      </c>
      <c r="X195" s="4" t="str">
        <f t="shared" si="32"/>
        <v>Invalid</v>
      </c>
      <c r="Y195" t="s">
        <v>32</v>
      </c>
      <c r="Z195" t="str">
        <f t="shared" si="33"/>
        <v>Valid</v>
      </c>
      <c r="AA195" t="s">
        <v>33</v>
      </c>
      <c r="AB195" t="s">
        <v>1141</v>
      </c>
      <c r="AC195" t="str">
        <f t="shared" si="34"/>
        <v>Not Applicable</v>
      </c>
      <c r="AE195" s="4" t="str">
        <f t="shared" si="35"/>
        <v>Not Applicable</v>
      </c>
      <c r="AF195" t="s">
        <v>34</v>
      </c>
    </row>
    <row r="196" spans="1:32" x14ac:dyDescent="0.3">
      <c r="A196" t="s">
        <v>142</v>
      </c>
      <c r="B196" s="4">
        <v>45570</v>
      </c>
      <c r="C196" t="s">
        <v>143</v>
      </c>
      <c r="D196" t="s">
        <v>25</v>
      </c>
      <c r="E196" t="s">
        <v>1469</v>
      </c>
      <c r="F196" t="s">
        <v>26</v>
      </c>
      <c r="G196" t="s">
        <v>144</v>
      </c>
      <c r="H196">
        <v>1699</v>
      </c>
      <c r="I196" t="str">
        <f t="shared" si="27"/>
        <v>Normal</v>
      </c>
      <c r="J196">
        <v>1</v>
      </c>
      <c r="K196" t="str">
        <f t="shared" si="28"/>
        <v>Normal</v>
      </c>
      <c r="L196">
        <v>1699</v>
      </c>
      <c r="M196">
        <f t="shared" si="29"/>
        <v>1699</v>
      </c>
      <c r="N196" t="str">
        <f t="shared" si="30"/>
        <v>Match</v>
      </c>
      <c r="O196" t="s">
        <v>1140</v>
      </c>
      <c r="P196">
        <v>0</v>
      </c>
      <c r="Q196" t="str">
        <f t="shared" si="31"/>
        <v>Invalid</v>
      </c>
      <c r="R196" t="s">
        <v>28</v>
      </c>
      <c r="S196" t="s">
        <v>42</v>
      </c>
      <c r="T196" t="s">
        <v>145</v>
      </c>
      <c r="U196" t="s">
        <v>132</v>
      </c>
      <c r="V196" t="s">
        <v>30</v>
      </c>
      <c r="W196" s="4">
        <v>45580</v>
      </c>
      <c r="X196" s="4" t="str">
        <f t="shared" si="32"/>
        <v>Invalid</v>
      </c>
      <c r="Y196" t="s">
        <v>32</v>
      </c>
      <c r="Z196" t="str">
        <f t="shared" si="33"/>
        <v>Valid</v>
      </c>
      <c r="AA196" t="s">
        <v>33</v>
      </c>
      <c r="AB196" t="s">
        <v>1141</v>
      </c>
      <c r="AC196" t="str">
        <f t="shared" si="34"/>
        <v>Not Applicable</v>
      </c>
      <c r="AE196" s="4" t="str">
        <f t="shared" si="35"/>
        <v>Not Applicable</v>
      </c>
      <c r="AF196" t="s">
        <v>34</v>
      </c>
    </row>
    <row r="197" spans="1:32" x14ac:dyDescent="0.3">
      <c r="A197" t="s">
        <v>304</v>
      </c>
      <c r="B197" s="4">
        <v>45582</v>
      </c>
      <c r="C197" t="s">
        <v>305</v>
      </c>
      <c r="D197" t="s">
        <v>25</v>
      </c>
      <c r="E197" t="s">
        <v>1314</v>
      </c>
      <c r="F197" t="s">
        <v>38</v>
      </c>
      <c r="G197" t="s">
        <v>306</v>
      </c>
      <c r="H197">
        <v>2299</v>
      </c>
      <c r="I197" t="str">
        <f t="shared" si="27"/>
        <v>Normal</v>
      </c>
      <c r="J197">
        <v>1</v>
      </c>
      <c r="K197" t="str">
        <f t="shared" si="28"/>
        <v>Normal</v>
      </c>
      <c r="L197">
        <v>2299</v>
      </c>
      <c r="M197">
        <f t="shared" si="29"/>
        <v>2299</v>
      </c>
      <c r="N197" t="str">
        <f t="shared" si="30"/>
        <v>Match</v>
      </c>
      <c r="O197" t="s">
        <v>1140</v>
      </c>
      <c r="P197">
        <v>0</v>
      </c>
      <c r="Q197" t="str">
        <f t="shared" si="31"/>
        <v>Invalid</v>
      </c>
      <c r="R197" t="s">
        <v>52</v>
      </c>
      <c r="S197" t="s">
        <v>42</v>
      </c>
      <c r="T197" t="s">
        <v>106</v>
      </c>
      <c r="U197" t="s">
        <v>107</v>
      </c>
      <c r="V197" t="s">
        <v>43</v>
      </c>
      <c r="X197" s="4" t="str">
        <f t="shared" si="32"/>
        <v>Not applicable</v>
      </c>
      <c r="Y197" t="s">
        <v>32</v>
      </c>
      <c r="Z197" t="str">
        <f t="shared" si="33"/>
        <v>Valid</v>
      </c>
      <c r="AA197" t="s">
        <v>33</v>
      </c>
      <c r="AB197" t="s">
        <v>1141</v>
      </c>
      <c r="AC197" t="str">
        <f t="shared" si="34"/>
        <v>Not Applicable</v>
      </c>
      <c r="AE197" s="4" t="str">
        <f t="shared" si="35"/>
        <v>Not Applicable</v>
      </c>
      <c r="AF197" t="s">
        <v>34</v>
      </c>
    </row>
    <row r="198" spans="1:32" x14ac:dyDescent="0.3">
      <c r="A198" t="s">
        <v>103</v>
      </c>
      <c r="B198" s="4">
        <v>45568</v>
      </c>
      <c r="C198" t="s">
        <v>104</v>
      </c>
      <c r="D198" t="s">
        <v>25</v>
      </c>
      <c r="E198" t="s">
        <v>1318</v>
      </c>
      <c r="F198" t="s">
        <v>38</v>
      </c>
      <c r="G198" t="s">
        <v>105</v>
      </c>
      <c r="H198">
        <v>3299</v>
      </c>
      <c r="I198" t="str">
        <f t="shared" si="27"/>
        <v>Normal</v>
      </c>
      <c r="J198">
        <v>1</v>
      </c>
      <c r="K198" t="str">
        <f t="shared" si="28"/>
        <v>Normal</v>
      </c>
      <c r="L198">
        <v>3299</v>
      </c>
      <c r="M198">
        <f t="shared" si="29"/>
        <v>3299</v>
      </c>
      <c r="N198" t="str">
        <f t="shared" si="30"/>
        <v>Match</v>
      </c>
      <c r="O198" t="s">
        <v>1140</v>
      </c>
      <c r="P198">
        <v>0</v>
      </c>
      <c r="Q198" t="str">
        <f t="shared" si="31"/>
        <v>Invalid</v>
      </c>
      <c r="R198" t="s">
        <v>52</v>
      </c>
      <c r="S198" t="s">
        <v>42</v>
      </c>
      <c r="T198" t="s">
        <v>106</v>
      </c>
      <c r="U198" t="s">
        <v>107</v>
      </c>
      <c r="V198" t="s">
        <v>43</v>
      </c>
      <c r="X198" s="4" t="str">
        <f t="shared" si="32"/>
        <v>Not applicable</v>
      </c>
      <c r="Y198" t="s">
        <v>32</v>
      </c>
      <c r="Z198" t="str">
        <f t="shared" si="33"/>
        <v>Valid</v>
      </c>
      <c r="AA198" t="s">
        <v>33</v>
      </c>
      <c r="AB198" t="s">
        <v>1141</v>
      </c>
      <c r="AC198" t="str">
        <f t="shared" si="34"/>
        <v>Not Applicable</v>
      </c>
      <c r="AE198" s="4" t="str">
        <f t="shared" si="35"/>
        <v>Not Applicable</v>
      </c>
      <c r="AF198" t="s">
        <v>34</v>
      </c>
    </row>
    <row r="199" spans="1:32" x14ac:dyDescent="0.3">
      <c r="A199" t="s">
        <v>727</v>
      </c>
      <c r="B199" s="4">
        <v>45622</v>
      </c>
      <c r="C199" t="s">
        <v>728</v>
      </c>
      <c r="D199" t="s">
        <v>25</v>
      </c>
      <c r="E199" t="s">
        <v>1285</v>
      </c>
      <c r="F199" t="s">
        <v>38</v>
      </c>
      <c r="G199" t="s">
        <v>729</v>
      </c>
      <c r="H199">
        <v>3699</v>
      </c>
      <c r="I199" t="str">
        <f t="shared" si="27"/>
        <v>Normal</v>
      </c>
      <c r="J199">
        <v>1</v>
      </c>
      <c r="K199" t="str">
        <f t="shared" si="28"/>
        <v>Normal</v>
      </c>
      <c r="L199">
        <v>3699</v>
      </c>
      <c r="M199">
        <f t="shared" si="29"/>
        <v>3699</v>
      </c>
      <c r="N199" t="str">
        <f t="shared" si="30"/>
        <v>Match</v>
      </c>
      <c r="O199" t="s">
        <v>1140</v>
      </c>
      <c r="P199">
        <v>0</v>
      </c>
      <c r="Q199" t="str">
        <f t="shared" si="31"/>
        <v>Invalid</v>
      </c>
      <c r="R199" t="s">
        <v>60</v>
      </c>
      <c r="S199" t="s">
        <v>42</v>
      </c>
      <c r="T199" t="s">
        <v>106</v>
      </c>
      <c r="U199" t="s">
        <v>107</v>
      </c>
      <c r="V199" t="s">
        <v>43</v>
      </c>
      <c r="W199" s="4">
        <v>45639</v>
      </c>
      <c r="X199" s="4" t="str">
        <f t="shared" si="32"/>
        <v>Invalid</v>
      </c>
      <c r="Y199" t="s">
        <v>32</v>
      </c>
      <c r="Z199" t="str">
        <f t="shared" si="33"/>
        <v>Valid</v>
      </c>
      <c r="AA199" t="s">
        <v>33</v>
      </c>
      <c r="AB199" t="s">
        <v>1141</v>
      </c>
      <c r="AC199" t="str">
        <f t="shared" si="34"/>
        <v>Not Applicable</v>
      </c>
      <c r="AE199" s="4" t="str">
        <f t="shared" si="35"/>
        <v>Not Applicable</v>
      </c>
      <c r="AF199" t="s">
        <v>34</v>
      </c>
    </row>
    <row r="200" spans="1:32" x14ac:dyDescent="0.3">
      <c r="A200" t="s">
        <v>775</v>
      </c>
      <c r="B200" s="4">
        <v>45627</v>
      </c>
      <c r="C200" t="s">
        <v>776</v>
      </c>
      <c r="D200" t="s">
        <v>37</v>
      </c>
      <c r="E200" t="s">
        <v>1178</v>
      </c>
      <c r="F200" t="s">
        <v>66</v>
      </c>
      <c r="G200" t="s">
        <v>777</v>
      </c>
      <c r="H200">
        <v>1499</v>
      </c>
      <c r="I200" t="str">
        <f t="shared" si="27"/>
        <v>Normal</v>
      </c>
      <c r="J200">
        <v>1</v>
      </c>
      <c r="K200" t="str">
        <f t="shared" si="28"/>
        <v>Normal</v>
      </c>
      <c r="L200">
        <v>1499</v>
      </c>
      <c r="M200">
        <f t="shared" si="29"/>
        <v>1499</v>
      </c>
      <c r="N200" t="str">
        <f t="shared" si="30"/>
        <v>Match</v>
      </c>
      <c r="O200" t="s">
        <v>1140</v>
      </c>
      <c r="P200">
        <v>0</v>
      </c>
      <c r="Q200" t="str">
        <f t="shared" si="31"/>
        <v>Invalid</v>
      </c>
      <c r="R200" t="s">
        <v>28</v>
      </c>
      <c r="S200" t="s">
        <v>61</v>
      </c>
      <c r="T200" t="s">
        <v>106</v>
      </c>
      <c r="U200" t="s">
        <v>107</v>
      </c>
      <c r="V200" t="s">
        <v>43</v>
      </c>
      <c r="W200" s="4">
        <v>45633</v>
      </c>
      <c r="X200" s="4" t="str">
        <f t="shared" si="32"/>
        <v>Invalid</v>
      </c>
      <c r="Y200" t="s">
        <v>32</v>
      </c>
      <c r="Z200" t="str">
        <f t="shared" si="33"/>
        <v>Valid</v>
      </c>
      <c r="AA200" t="s">
        <v>33</v>
      </c>
      <c r="AB200" t="s">
        <v>1141</v>
      </c>
      <c r="AC200" t="str">
        <f t="shared" si="34"/>
        <v>Not Applicable</v>
      </c>
      <c r="AE200" s="4" t="str">
        <f t="shared" si="35"/>
        <v>Not Applicable</v>
      </c>
      <c r="AF200" t="s">
        <v>34</v>
      </c>
    </row>
    <row r="201" spans="1:32" x14ac:dyDescent="0.3">
      <c r="A201" t="s">
        <v>1052</v>
      </c>
      <c r="B201" s="4">
        <v>45649</v>
      </c>
      <c r="C201" t="s">
        <v>1053</v>
      </c>
      <c r="D201" t="s">
        <v>25</v>
      </c>
      <c r="E201" t="s">
        <v>1213</v>
      </c>
      <c r="F201" t="s">
        <v>50</v>
      </c>
      <c r="G201" t="s">
        <v>1054</v>
      </c>
      <c r="H201">
        <v>2499</v>
      </c>
      <c r="I201" t="str">
        <f t="shared" si="27"/>
        <v>Normal</v>
      </c>
      <c r="J201">
        <v>1</v>
      </c>
      <c r="K201" t="str">
        <f t="shared" si="28"/>
        <v>Normal</v>
      </c>
      <c r="L201">
        <v>2499</v>
      </c>
      <c r="M201">
        <f t="shared" si="29"/>
        <v>2499</v>
      </c>
      <c r="N201" t="str">
        <f t="shared" si="30"/>
        <v>Match</v>
      </c>
      <c r="O201" s="1" t="s">
        <v>1140</v>
      </c>
      <c r="P201">
        <v>0</v>
      </c>
      <c r="Q201" t="str">
        <f t="shared" si="31"/>
        <v>Invalid</v>
      </c>
      <c r="R201" t="s">
        <v>28</v>
      </c>
      <c r="S201" t="s">
        <v>42</v>
      </c>
      <c r="T201" t="s">
        <v>106</v>
      </c>
      <c r="U201" t="s">
        <v>107</v>
      </c>
      <c r="V201" t="s">
        <v>43</v>
      </c>
      <c r="W201" s="4">
        <v>45673</v>
      </c>
      <c r="X201" s="4" t="str">
        <f t="shared" si="32"/>
        <v>Invalid</v>
      </c>
      <c r="Y201" t="s">
        <v>32</v>
      </c>
      <c r="Z201" t="str">
        <f t="shared" si="33"/>
        <v>Valid</v>
      </c>
      <c r="AA201" t="s">
        <v>33</v>
      </c>
      <c r="AB201" t="s">
        <v>1141</v>
      </c>
      <c r="AC201" t="str">
        <f t="shared" si="34"/>
        <v>Not Applicable</v>
      </c>
      <c r="AE201" s="4" t="str">
        <f t="shared" si="35"/>
        <v>Not Applicable</v>
      </c>
      <c r="AF201" t="s">
        <v>34</v>
      </c>
    </row>
    <row r="202" spans="1:32" x14ac:dyDescent="0.3">
      <c r="A202" t="s">
        <v>387</v>
      </c>
      <c r="B202" s="4">
        <v>45589</v>
      </c>
      <c r="C202" t="s">
        <v>388</v>
      </c>
      <c r="D202" t="s">
        <v>25</v>
      </c>
      <c r="E202" t="s">
        <v>1148</v>
      </c>
      <c r="F202" t="s">
        <v>66</v>
      </c>
      <c r="G202" t="s">
        <v>389</v>
      </c>
      <c r="H202">
        <v>699</v>
      </c>
      <c r="I202" t="str">
        <f t="shared" si="27"/>
        <v>Normal</v>
      </c>
      <c r="J202">
        <v>1</v>
      </c>
      <c r="K202" t="str">
        <f t="shared" si="28"/>
        <v>Normal</v>
      </c>
      <c r="L202">
        <v>699</v>
      </c>
      <c r="M202">
        <f t="shared" si="29"/>
        <v>699</v>
      </c>
      <c r="N202" t="str">
        <f t="shared" si="30"/>
        <v>Match</v>
      </c>
      <c r="O202" t="s">
        <v>1140</v>
      </c>
      <c r="P202">
        <v>0</v>
      </c>
      <c r="Q202" t="str">
        <f t="shared" si="31"/>
        <v>Invalid</v>
      </c>
      <c r="R202" t="s">
        <v>100</v>
      </c>
      <c r="S202" t="s">
        <v>29</v>
      </c>
      <c r="T202" t="s">
        <v>106</v>
      </c>
      <c r="U202" t="s">
        <v>107</v>
      </c>
      <c r="V202" t="s">
        <v>43</v>
      </c>
      <c r="W202" s="4">
        <v>45600</v>
      </c>
      <c r="X202" s="4" t="str">
        <f t="shared" si="32"/>
        <v>Invalid</v>
      </c>
      <c r="Y202" t="s">
        <v>32</v>
      </c>
      <c r="Z202" t="str">
        <f t="shared" si="33"/>
        <v>Valid</v>
      </c>
      <c r="AA202" t="s">
        <v>33</v>
      </c>
      <c r="AB202" t="s">
        <v>1141</v>
      </c>
      <c r="AC202" t="str">
        <f t="shared" si="34"/>
        <v>Not Applicable</v>
      </c>
      <c r="AE202" s="4" t="str">
        <f t="shared" si="35"/>
        <v>Not Applicable</v>
      </c>
      <c r="AF202" t="s">
        <v>34</v>
      </c>
    </row>
    <row r="203" spans="1:32" x14ac:dyDescent="0.3">
      <c r="A203" t="s">
        <v>968</v>
      </c>
      <c r="B203" s="4">
        <v>45642</v>
      </c>
      <c r="C203" t="s">
        <v>969</v>
      </c>
      <c r="D203" t="s">
        <v>37</v>
      </c>
      <c r="E203" t="s">
        <v>1164</v>
      </c>
      <c r="F203" t="s">
        <v>66</v>
      </c>
      <c r="G203" t="s">
        <v>970</v>
      </c>
      <c r="H203">
        <v>1399</v>
      </c>
      <c r="I203" t="str">
        <f t="shared" si="27"/>
        <v>Normal</v>
      </c>
      <c r="J203">
        <v>1</v>
      </c>
      <c r="K203" t="str">
        <f t="shared" si="28"/>
        <v>Normal</v>
      </c>
      <c r="L203">
        <v>1399</v>
      </c>
      <c r="M203">
        <f t="shared" si="29"/>
        <v>1119.2</v>
      </c>
      <c r="N203" t="str">
        <f t="shared" si="30"/>
        <v>Mismatch</v>
      </c>
      <c r="O203" s="1">
        <v>44166</v>
      </c>
      <c r="P203">
        <v>20</v>
      </c>
      <c r="Q203" t="str">
        <f t="shared" si="31"/>
        <v>Invalid</v>
      </c>
      <c r="R203" t="s">
        <v>100</v>
      </c>
      <c r="S203" t="s">
        <v>29</v>
      </c>
      <c r="T203" t="s">
        <v>106</v>
      </c>
      <c r="U203" t="s">
        <v>107</v>
      </c>
      <c r="V203" t="s">
        <v>43</v>
      </c>
      <c r="W203" s="4">
        <v>45661</v>
      </c>
      <c r="X203" s="4" t="str">
        <f t="shared" si="32"/>
        <v>Invalid</v>
      </c>
      <c r="Y203" t="s">
        <v>32</v>
      </c>
      <c r="Z203" t="str">
        <f t="shared" si="33"/>
        <v>Valid</v>
      </c>
      <c r="AA203" t="s">
        <v>33</v>
      </c>
      <c r="AB203" t="s">
        <v>1141</v>
      </c>
      <c r="AC203" t="str">
        <f t="shared" si="34"/>
        <v>Not Applicable</v>
      </c>
      <c r="AE203" s="4" t="str">
        <f t="shared" si="35"/>
        <v>Not Applicable</v>
      </c>
      <c r="AF203" t="s">
        <v>34</v>
      </c>
    </row>
    <row r="204" spans="1:32" x14ac:dyDescent="0.3">
      <c r="A204" t="s">
        <v>220</v>
      </c>
      <c r="B204" s="4">
        <v>45575</v>
      </c>
      <c r="C204" t="s">
        <v>221</v>
      </c>
      <c r="D204" t="s">
        <v>25</v>
      </c>
      <c r="E204" t="s">
        <v>1357</v>
      </c>
      <c r="F204" t="s">
        <v>57</v>
      </c>
      <c r="G204" t="s">
        <v>222</v>
      </c>
      <c r="H204">
        <v>2499</v>
      </c>
      <c r="I204" t="str">
        <f t="shared" si="27"/>
        <v>Normal</v>
      </c>
      <c r="J204">
        <v>1</v>
      </c>
      <c r="K204" t="str">
        <f t="shared" si="28"/>
        <v>Normal</v>
      </c>
      <c r="L204">
        <v>2499</v>
      </c>
      <c r="M204">
        <f t="shared" si="29"/>
        <v>2499</v>
      </c>
      <c r="N204" t="str">
        <f t="shared" si="30"/>
        <v>Match</v>
      </c>
      <c r="O204" t="s">
        <v>1140</v>
      </c>
      <c r="P204">
        <v>0</v>
      </c>
      <c r="Q204" t="str">
        <f t="shared" si="31"/>
        <v>Invalid</v>
      </c>
      <c r="R204" t="s">
        <v>100</v>
      </c>
      <c r="S204" t="s">
        <v>29</v>
      </c>
      <c r="T204" t="s">
        <v>106</v>
      </c>
      <c r="U204" t="s">
        <v>107</v>
      </c>
      <c r="V204" t="s">
        <v>43</v>
      </c>
      <c r="W204" s="4">
        <v>45585</v>
      </c>
      <c r="X204" s="4" t="str">
        <f t="shared" si="32"/>
        <v>Invalid</v>
      </c>
      <c r="Y204" t="s">
        <v>32</v>
      </c>
      <c r="Z204" t="str">
        <f t="shared" si="33"/>
        <v>Valid</v>
      </c>
      <c r="AA204" t="s">
        <v>33</v>
      </c>
      <c r="AB204" t="s">
        <v>1141</v>
      </c>
      <c r="AC204" t="str">
        <f t="shared" si="34"/>
        <v>Not Applicable</v>
      </c>
      <c r="AE204" s="4" t="str">
        <f t="shared" si="35"/>
        <v>Not Applicable</v>
      </c>
      <c r="AF204" t="s">
        <v>34</v>
      </c>
    </row>
    <row r="205" spans="1:32" x14ac:dyDescent="0.3">
      <c r="A205" t="s">
        <v>435</v>
      </c>
      <c r="B205" s="4">
        <v>45593</v>
      </c>
      <c r="C205" t="s">
        <v>436</v>
      </c>
      <c r="D205" t="s">
        <v>25</v>
      </c>
      <c r="E205" t="s">
        <v>1223</v>
      </c>
      <c r="F205" t="s">
        <v>50</v>
      </c>
      <c r="G205" t="s">
        <v>213</v>
      </c>
      <c r="H205">
        <v>1899</v>
      </c>
      <c r="I205" t="str">
        <f t="shared" si="27"/>
        <v>Normal</v>
      </c>
      <c r="J205">
        <v>1</v>
      </c>
      <c r="K205" t="str">
        <f t="shared" si="28"/>
        <v>Normal</v>
      </c>
      <c r="L205">
        <v>1899</v>
      </c>
      <c r="M205">
        <f t="shared" si="29"/>
        <v>1139.3999999999999</v>
      </c>
      <c r="N205" t="str">
        <f t="shared" si="30"/>
        <v>Mismatch</v>
      </c>
      <c r="O205" t="s">
        <v>425</v>
      </c>
      <c r="P205">
        <v>40</v>
      </c>
      <c r="Q205" t="str">
        <f t="shared" si="31"/>
        <v>Invalid</v>
      </c>
      <c r="R205" t="s">
        <v>52</v>
      </c>
      <c r="S205" t="s">
        <v>42</v>
      </c>
      <c r="T205" t="s">
        <v>62</v>
      </c>
      <c r="U205" t="s">
        <v>63</v>
      </c>
      <c r="V205" t="s">
        <v>53</v>
      </c>
      <c r="X205" s="4" t="str">
        <f t="shared" si="32"/>
        <v>Not applicable</v>
      </c>
      <c r="Y205" t="s">
        <v>32</v>
      </c>
      <c r="Z205" t="str">
        <f t="shared" si="33"/>
        <v>Valid</v>
      </c>
      <c r="AA205" t="s">
        <v>33</v>
      </c>
      <c r="AB205" t="s">
        <v>1141</v>
      </c>
      <c r="AC205" t="str">
        <f t="shared" si="34"/>
        <v>Not Applicable</v>
      </c>
      <c r="AE205" s="4" t="str">
        <f t="shared" si="35"/>
        <v>Not Applicable</v>
      </c>
      <c r="AF205" t="s">
        <v>34</v>
      </c>
    </row>
    <row r="206" spans="1:32" x14ac:dyDescent="0.3">
      <c r="A206" t="s">
        <v>193</v>
      </c>
      <c r="B206" s="4">
        <v>45573</v>
      </c>
      <c r="C206" t="s">
        <v>194</v>
      </c>
      <c r="D206" t="s">
        <v>37</v>
      </c>
      <c r="E206" t="s">
        <v>1205</v>
      </c>
      <c r="F206" t="s">
        <v>66</v>
      </c>
      <c r="G206" t="s">
        <v>195</v>
      </c>
      <c r="H206">
        <v>2999</v>
      </c>
      <c r="I206" t="str">
        <f t="shared" si="27"/>
        <v>Normal</v>
      </c>
      <c r="J206">
        <v>1</v>
      </c>
      <c r="K206" t="str">
        <f t="shared" si="28"/>
        <v>Normal</v>
      </c>
      <c r="L206">
        <v>2999</v>
      </c>
      <c r="M206">
        <f t="shared" si="29"/>
        <v>2999</v>
      </c>
      <c r="N206" t="str">
        <f t="shared" si="30"/>
        <v>Match</v>
      </c>
      <c r="O206" t="s">
        <v>1140</v>
      </c>
      <c r="P206">
        <v>0</v>
      </c>
      <c r="Q206" t="str">
        <f t="shared" si="31"/>
        <v>Invalid</v>
      </c>
      <c r="R206" t="s">
        <v>41</v>
      </c>
      <c r="S206" t="s">
        <v>42</v>
      </c>
      <c r="T206" t="s">
        <v>62</v>
      </c>
      <c r="U206" t="s">
        <v>63</v>
      </c>
      <c r="V206" t="s">
        <v>53</v>
      </c>
      <c r="W206" s="4">
        <v>45580</v>
      </c>
      <c r="X206" s="4" t="str">
        <f t="shared" si="32"/>
        <v>Invalid</v>
      </c>
      <c r="Y206" t="s">
        <v>32</v>
      </c>
      <c r="Z206" t="str">
        <f t="shared" si="33"/>
        <v>Valid</v>
      </c>
      <c r="AA206" t="s">
        <v>33</v>
      </c>
      <c r="AB206" t="s">
        <v>1141</v>
      </c>
      <c r="AC206" t="str">
        <f t="shared" si="34"/>
        <v>Not Applicable</v>
      </c>
      <c r="AE206" s="4" t="str">
        <f t="shared" si="35"/>
        <v>Not Applicable</v>
      </c>
      <c r="AF206" t="s">
        <v>34</v>
      </c>
    </row>
    <row r="207" spans="1:32" x14ac:dyDescent="0.3">
      <c r="A207" t="s">
        <v>840</v>
      </c>
      <c r="B207" s="4">
        <v>45631</v>
      </c>
      <c r="C207" t="s">
        <v>841</v>
      </c>
      <c r="D207" t="s">
        <v>25</v>
      </c>
      <c r="E207" t="s">
        <v>1444</v>
      </c>
      <c r="F207" t="s">
        <v>26</v>
      </c>
      <c r="G207" t="s">
        <v>842</v>
      </c>
      <c r="H207">
        <v>2199</v>
      </c>
      <c r="I207" t="str">
        <f t="shared" si="27"/>
        <v>Normal</v>
      </c>
      <c r="J207">
        <v>1</v>
      </c>
      <c r="K207" t="str">
        <f t="shared" si="28"/>
        <v>Normal</v>
      </c>
      <c r="L207">
        <v>2199</v>
      </c>
      <c r="M207">
        <f t="shared" si="29"/>
        <v>2199</v>
      </c>
      <c r="N207" t="str">
        <f t="shared" si="30"/>
        <v>Match</v>
      </c>
      <c r="O207" s="1" t="s">
        <v>1140</v>
      </c>
      <c r="P207">
        <v>0</v>
      </c>
      <c r="Q207" t="str">
        <f t="shared" si="31"/>
        <v>Invalid</v>
      </c>
      <c r="R207" t="s">
        <v>60</v>
      </c>
      <c r="S207" t="s">
        <v>42</v>
      </c>
      <c r="T207" t="s">
        <v>62</v>
      </c>
      <c r="U207" t="s">
        <v>63</v>
      </c>
      <c r="V207" t="s">
        <v>53</v>
      </c>
      <c r="W207" s="4">
        <v>45642</v>
      </c>
      <c r="X207" s="4" t="str">
        <f t="shared" si="32"/>
        <v>Invalid</v>
      </c>
      <c r="Y207" t="s">
        <v>32</v>
      </c>
      <c r="Z207" t="str">
        <f t="shared" si="33"/>
        <v>Valid</v>
      </c>
      <c r="AA207" t="s">
        <v>33</v>
      </c>
      <c r="AB207" t="s">
        <v>1141</v>
      </c>
      <c r="AC207" t="str">
        <f t="shared" si="34"/>
        <v>Not Applicable</v>
      </c>
      <c r="AE207" s="4" t="str">
        <f t="shared" si="35"/>
        <v>Not Applicable</v>
      </c>
      <c r="AF207" t="s">
        <v>34</v>
      </c>
    </row>
    <row r="208" spans="1:32" x14ac:dyDescent="0.3">
      <c r="A208" t="s">
        <v>941</v>
      </c>
      <c r="B208" s="4">
        <v>45640</v>
      </c>
      <c r="C208" t="s">
        <v>942</v>
      </c>
      <c r="D208" t="s">
        <v>25</v>
      </c>
      <c r="E208" t="s">
        <v>1476</v>
      </c>
      <c r="F208" t="s">
        <v>26</v>
      </c>
      <c r="G208" t="s">
        <v>943</v>
      </c>
      <c r="H208">
        <v>2099</v>
      </c>
      <c r="I208" t="str">
        <f t="shared" si="27"/>
        <v>Normal</v>
      </c>
      <c r="J208">
        <v>1</v>
      </c>
      <c r="K208" t="str">
        <f t="shared" si="28"/>
        <v>Normal</v>
      </c>
      <c r="L208">
        <v>2099</v>
      </c>
      <c r="M208">
        <f t="shared" si="29"/>
        <v>1679.2</v>
      </c>
      <c r="N208" t="str">
        <f t="shared" si="30"/>
        <v>Mismatch</v>
      </c>
      <c r="O208" s="1">
        <v>44166</v>
      </c>
      <c r="P208">
        <v>20</v>
      </c>
      <c r="Q208" t="str">
        <f t="shared" si="31"/>
        <v>Invalid</v>
      </c>
      <c r="R208" t="s">
        <v>60</v>
      </c>
      <c r="S208" t="s">
        <v>29</v>
      </c>
      <c r="T208" t="s">
        <v>62</v>
      </c>
      <c r="U208" t="s">
        <v>63</v>
      </c>
      <c r="V208" t="s">
        <v>53</v>
      </c>
      <c r="W208" s="4">
        <v>45657</v>
      </c>
      <c r="X208" s="4" t="str">
        <f t="shared" si="32"/>
        <v>Invalid</v>
      </c>
      <c r="Y208" t="s">
        <v>32</v>
      </c>
      <c r="Z208" t="str">
        <f t="shared" si="33"/>
        <v>Valid</v>
      </c>
      <c r="AA208" t="s">
        <v>33</v>
      </c>
      <c r="AB208" t="s">
        <v>1141</v>
      </c>
      <c r="AC208" t="str">
        <f t="shared" si="34"/>
        <v>Not Applicable</v>
      </c>
      <c r="AE208" s="4" t="str">
        <f t="shared" si="35"/>
        <v>Not Applicable</v>
      </c>
      <c r="AF208" t="s">
        <v>34</v>
      </c>
    </row>
    <row r="209" spans="1:32" x14ac:dyDescent="0.3">
      <c r="A209" t="s">
        <v>360</v>
      </c>
      <c r="B209" s="4">
        <v>45587</v>
      </c>
      <c r="C209" t="s">
        <v>361</v>
      </c>
      <c r="D209" t="s">
        <v>37</v>
      </c>
      <c r="E209" t="s">
        <v>1269</v>
      </c>
      <c r="F209" t="s">
        <v>50</v>
      </c>
      <c r="G209" t="s">
        <v>362</v>
      </c>
      <c r="H209">
        <v>2399</v>
      </c>
      <c r="I209" t="str">
        <f t="shared" si="27"/>
        <v>Normal</v>
      </c>
      <c r="J209">
        <v>1</v>
      </c>
      <c r="K209" t="str">
        <f t="shared" si="28"/>
        <v>Normal</v>
      </c>
      <c r="L209">
        <v>2399</v>
      </c>
      <c r="M209">
        <f t="shared" si="29"/>
        <v>2399</v>
      </c>
      <c r="N209" t="str">
        <f t="shared" si="30"/>
        <v>Match</v>
      </c>
      <c r="O209" t="s">
        <v>1140</v>
      </c>
      <c r="P209">
        <v>0</v>
      </c>
      <c r="Q209" t="str">
        <f t="shared" si="31"/>
        <v>Invalid</v>
      </c>
      <c r="R209" t="s">
        <v>28</v>
      </c>
      <c r="S209" t="s">
        <v>29</v>
      </c>
      <c r="T209" t="s">
        <v>62</v>
      </c>
      <c r="U209" t="s">
        <v>63</v>
      </c>
      <c r="V209" t="s">
        <v>53</v>
      </c>
      <c r="W209" s="4">
        <v>45599</v>
      </c>
      <c r="X209" s="4" t="str">
        <f t="shared" si="32"/>
        <v>Invalid</v>
      </c>
      <c r="Y209" t="s">
        <v>32</v>
      </c>
      <c r="Z209" t="str">
        <f t="shared" si="33"/>
        <v>Valid</v>
      </c>
      <c r="AA209" t="s">
        <v>33</v>
      </c>
      <c r="AB209" t="s">
        <v>1141</v>
      </c>
      <c r="AC209" t="str">
        <f t="shared" si="34"/>
        <v>Not Applicable</v>
      </c>
      <c r="AE209" s="4" t="str">
        <f t="shared" si="35"/>
        <v>Not Applicable</v>
      </c>
      <c r="AF209" t="s">
        <v>34</v>
      </c>
    </row>
    <row r="210" spans="1:32" x14ac:dyDescent="0.3">
      <c r="A210" t="s">
        <v>277</v>
      </c>
      <c r="B210" s="4">
        <v>45580</v>
      </c>
      <c r="C210" t="s">
        <v>278</v>
      </c>
      <c r="D210" t="s">
        <v>37</v>
      </c>
      <c r="E210" t="s">
        <v>1435</v>
      </c>
      <c r="F210" t="s">
        <v>26</v>
      </c>
      <c r="G210" t="s">
        <v>279</v>
      </c>
      <c r="H210">
        <v>1399</v>
      </c>
      <c r="I210" t="str">
        <f t="shared" si="27"/>
        <v>Normal</v>
      </c>
      <c r="J210">
        <v>1</v>
      </c>
      <c r="K210" t="str">
        <f t="shared" si="28"/>
        <v>Normal</v>
      </c>
      <c r="L210">
        <v>1399</v>
      </c>
      <c r="M210">
        <f t="shared" si="29"/>
        <v>1399</v>
      </c>
      <c r="N210" t="str">
        <f t="shared" si="30"/>
        <v>Match</v>
      </c>
      <c r="O210" t="s">
        <v>1140</v>
      </c>
      <c r="P210">
        <v>0</v>
      </c>
      <c r="Q210" t="str">
        <f t="shared" si="31"/>
        <v>Invalid</v>
      </c>
      <c r="R210" t="s">
        <v>28</v>
      </c>
      <c r="S210" t="s">
        <v>42</v>
      </c>
      <c r="T210" t="s">
        <v>62</v>
      </c>
      <c r="U210" t="s">
        <v>63</v>
      </c>
      <c r="V210" t="s">
        <v>53</v>
      </c>
      <c r="W210" s="4">
        <v>45589</v>
      </c>
      <c r="X210" s="4" t="str">
        <f t="shared" si="32"/>
        <v>Invalid</v>
      </c>
      <c r="Y210" t="s">
        <v>32</v>
      </c>
      <c r="Z210" t="str">
        <f t="shared" si="33"/>
        <v>Valid</v>
      </c>
      <c r="AA210" t="s">
        <v>33</v>
      </c>
      <c r="AB210" t="s">
        <v>1141</v>
      </c>
      <c r="AC210" t="str">
        <f t="shared" si="34"/>
        <v>Not Applicable</v>
      </c>
      <c r="AE210" s="4" t="str">
        <f t="shared" si="35"/>
        <v>Not Applicable</v>
      </c>
      <c r="AF210" t="s">
        <v>34</v>
      </c>
    </row>
    <row r="211" spans="1:32" x14ac:dyDescent="0.3">
      <c r="A211" t="s">
        <v>150</v>
      </c>
      <c r="B211" s="4">
        <v>45570</v>
      </c>
      <c r="C211" t="s">
        <v>151</v>
      </c>
      <c r="D211" t="s">
        <v>25</v>
      </c>
      <c r="E211" t="s">
        <v>1147</v>
      </c>
      <c r="F211" t="s">
        <v>66</v>
      </c>
      <c r="G211" t="s">
        <v>152</v>
      </c>
      <c r="H211">
        <v>899</v>
      </c>
      <c r="I211" t="str">
        <f t="shared" si="27"/>
        <v>Normal</v>
      </c>
      <c r="J211">
        <v>1</v>
      </c>
      <c r="K211" t="str">
        <f t="shared" si="28"/>
        <v>Normal</v>
      </c>
      <c r="L211">
        <v>899</v>
      </c>
      <c r="M211">
        <f t="shared" si="29"/>
        <v>809.1</v>
      </c>
      <c r="N211" t="str">
        <f t="shared" si="30"/>
        <v>Mismatch</v>
      </c>
      <c r="O211" t="s">
        <v>99</v>
      </c>
      <c r="P211">
        <v>10</v>
      </c>
      <c r="Q211" t="str">
        <f t="shared" si="31"/>
        <v>Invalid</v>
      </c>
      <c r="R211" t="s">
        <v>60</v>
      </c>
      <c r="S211" t="s">
        <v>42</v>
      </c>
      <c r="T211" t="s">
        <v>153</v>
      </c>
      <c r="U211" t="s">
        <v>63</v>
      </c>
      <c r="V211" t="s">
        <v>53</v>
      </c>
      <c r="W211" s="4">
        <v>45582</v>
      </c>
      <c r="X211" s="4" t="str">
        <f t="shared" si="32"/>
        <v>Invalid</v>
      </c>
      <c r="Y211" t="s">
        <v>32</v>
      </c>
      <c r="Z211" t="str">
        <f t="shared" si="33"/>
        <v>Valid</v>
      </c>
      <c r="AA211" t="s">
        <v>33</v>
      </c>
      <c r="AB211" t="s">
        <v>1141</v>
      </c>
      <c r="AC211" t="str">
        <f t="shared" si="34"/>
        <v>Not Applicable</v>
      </c>
      <c r="AE211" s="4" t="str">
        <f t="shared" si="35"/>
        <v>Not Applicable</v>
      </c>
      <c r="AF211" t="s">
        <v>34</v>
      </c>
    </row>
    <row r="212" spans="1:32" x14ac:dyDescent="0.3">
      <c r="A212" t="s">
        <v>751</v>
      </c>
      <c r="B212" s="4">
        <v>45625</v>
      </c>
      <c r="C212" t="s">
        <v>752</v>
      </c>
      <c r="D212" t="s">
        <v>25</v>
      </c>
      <c r="E212" t="s">
        <v>1190</v>
      </c>
      <c r="F212" t="s">
        <v>66</v>
      </c>
      <c r="G212" t="s">
        <v>753</v>
      </c>
      <c r="H212">
        <v>499</v>
      </c>
      <c r="I212" t="str">
        <f t="shared" si="27"/>
        <v>Normal</v>
      </c>
      <c r="J212">
        <v>2</v>
      </c>
      <c r="K212" t="str">
        <f t="shared" si="28"/>
        <v>Normal</v>
      </c>
      <c r="L212">
        <v>998</v>
      </c>
      <c r="M212">
        <f t="shared" si="29"/>
        <v>998</v>
      </c>
      <c r="N212" t="str">
        <f t="shared" si="30"/>
        <v>Match</v>
      </c>
      <c r="O212" t="s">
        <v>1140</v>
      </c>
      <c r="P212">
        <v>0</v>
      </c>
      <c r="Q212" t="str">
        <f t="shared" si="31"/>
        <v>Invalid</v>
      </c>
      <c r="R212" t="s">
        <v>28</v>
      </c>
      <c r="S212" t="s">
        <v>29</v>
      </c>
      <c r="T212" t="s">
        <v>153</v>
      </c>
      <c r="U212" t="s">
        <v>63</v>
      </c>
      <c r="V212" t="s">
        <v>53</v>
      </c>
      <c r="W212" s="4">
        <v>45640</v>
      </c>
      <c r="X212" s="4" t="str">
        <f t="shared" si="32"/>
        <v>Invalid</v>
      </c>
      <c r="Y212" t="s">
        <v>32</v>
      </c>
      <c r="Z212" t="str">
        <f t="shared" si="33"/>
        <v>Valid</v>
      </c>
      <c r="AA212" t="s">
        <v>33</v>
      </c>
      <c r="AB212" t="s">
        <v>1141</v>
      </c>
      <c r="AC212" t="str">
        <f t="shared" si="34"/>
        <v>Not Applicable</v>
      </c>
      <c r="AE212" s="4" t="str">
        <f t="shared" si="35"/>
        <v>Not Applicable</v>
      </c>
      <c r="AF212" t="s">
        <v>34</v>
      </c>
    </row>
    <row r="213" spans="1:32" x14ac:dyDescent="0.3">
      <c r="A213" t="s">
        <v>908</v>
      </c>
      <c r="B213" s="4">
        <v>45637</v>
      </c>
      <c r="C213" t="s">
        <v>909</v>
      </c>
      <c r="D213" t="s">
        <v>25</v>
      </c>
      <c r="E213" t="s">
        <v>1182</v>
      </c>
      <c r="F213" t="s">
        <v>66</v>
      </c>
      <c r="G213" t="s">
        <v>910</v>
      </c>
      <c r="H213">
        <v>399</v>
      </c>
      <c r="I213" t="str">
        <f t="shared" si="27"/>
        <v>Normal</v>
      </c>
      <c r="J213">
        <v>3</v>
      </c>
      <c r="K213" t="str">
        <f t="shared" si="28"/>
        <v>Normal</v>
      </c>
      <c r="L213">
        <v>1197</v>
      </c>
      <c r="M213">
        <f t="shared" si="29"/>
        <v>1197</v>
      </c>
      <c r="N213" t="str">
        <f t="shared" si="30"/>
        <v>Match</v>
      </c>
      <c r="O213" s="1" t="s">
        <v>1140</v>
      </c>
      <c r="P213">
        <v>0</v>
      </c>
      <c r="Q213" t="str">
        <f t="shared" si="31"/>
        <v>Invalid</v>
      </c>
      <c r="R213" t="s">
        <v>100</v>
      </c>
      <c r="S213" t="s">
        <v>42</v>
      </c>
      <c r="T213" t="s">
        <v>153</v>
      </c>
      <c r="U213" t="s">
        <v>63</v>
      </c>
      <c r="V213" t="s">
        <v>53</v>
      </c>
      <c r="W213" s="4">
        <v>45653</v>
      </c>
      <c r="X213" s="4" t="str">
        <f t="shared" si="32"/>
        <v>Invalid</v>
      </c>
      <c r="Y213" t="s">
        <v>32</v>
      </c>
      <c r="Z213" t="str">
        <f t="shared" si="33"/>
        <v>Valid</v>
      </c>
      <c r="AA213" t="s">
        <v>33</v>
      </c>
      <c r="AB213" t="s">
        <v>1141</v>
      </c>
      <c r="AC213" t="str">
        <f t="shared" si="34"/>
        <v>Not Applicable</v>
      </c>
      <c r="AE213" s="4" t="str">
        <f t="shared" si="35"/>
        <v>Not Applicable</v>
      </c>
      <c r="AF213" t="s">
        <v>34</v>
      </c>
    </row>
    <row r="214" spans="1:32" x14ac:dyDescent="0.3">
      <c r="A214" t="s">
        <v>786</v>
      </c>
      <c r="B214" s="4">
        <v>45628</v>
      </c>
      <c r="C214" t="s">
        <v>787</v>
      </c>
      <c r="D214" t="s">
        <v>25</v>
      </c>
      <c r="E214" t="s">
        <v>1224</v>
      </c>
      <c r="F214" t="s">
        <v>50</v>
      </c>
      <c r="G214" t="s">
        <v>788</v>
      </c>
      <c r="H214">
        <v>1799</v>
      </c>
      <c r="I214" t="str">
        <f t="shared" si="27"/>
        <v>Normal</v>
      </c>
      <c r="J214">
        <v>1</v>
      </c>
      <c r="K214" t="str">
        <f t="shared" si="28"/>
        <v>Normal</v>
      </c>
      <c r="L214">
        <v>1799</v>
      </c>
      <c r="M214">
        <f t="shared" si="29"/>
        <v>1439.2</v>
      </c>
      <c r="N214" t="str">
        <f t="shared" si="30"/>
        <v>Mismatch</v>
      </c>
      <c r="O214" s="1">
        <v>44166</v>
      </c>
      <c r="P214">
        <v>20</v>
      </c>
      <c r="Q214" t="str">
        <f t="shared" si="31"/>
        <v>Invalid</v>
      </c>
      <c r="R214" t="s">
        <v>100</v>
      </c>
      <c r="S214" t="s">
        <v>61</v>
      </c>
      <c r="T214" t="s">
        <v>789</v>
      </c>
      <c r="U214" t="s">
        <v>790</v>
      </c>
      <c r="V214" t="s">
        <v>43</v>
      </c>
      <c r="W214" s="4">
        <v>45636</v>
      </c>
      <c r="X214" s="4" t="str">
        <f t="shared" si="32"/>
        <v>Invalid</v>
      </c>
      <c r="Y214" t="s">
        <v>32</v>
      </c>
      <c r="Z214" t="str">
        <f t="shared" si="33"/>
        <v>Valid</v>
      </c>
      <c r="AA214" t="s">
        <v>33</v>
      </c>
      <c r="AB214" t="s">
        <v>1141</v>
      </c>
      <c r="AC214" t="str">
        <f t="shared" si="34"/>
        <v>Not Applicable</v>
      </c>
      <c r="AE214" s="4" t="str">
        <f t="shared" si="35"/>
        <v>Not Applicable</v>
      </c>
      <c r="AF214" t="s">
        <v>34</v>
      </c>
    </row>
    <row r="215" spans="1:32" x14ac:dyDescent="0.3">
      <c r="A215" t="s">
        <v>556</v>
      </c>
      <c r="B215" s="4">
        <v>45603</v>
      </c>
      <c r="C215" t="s">
        <v>557</v>
      </c>
      <c r="D215" t="s">
        <v>25</v>
      </c>
      <c r="E215" t="s">
        <v>1154</v>
      </c>
      <c r="F215" t="s">
        <v>66</v>
      </c>
      <c r="G215" t="s">
        <v>558</v>
      </c>
      <c r="H215">
        <v>899</v>
      </c>
      <c r="I215" t="str">
        <f t="shared" si="27"/>
        <v>Normal</v>
      </c>
      <c r="J215">
        <v>1</v>
      </c>
      <c r="K215" t="str">
        <f t="shared" si="28"/>
        <v>Normal</v>
      </c>
      <c r="L215">
        <v>899</v>
      </c>
      <c r="M215">
        <f t="shared" si="29"/>
        <v>899</v>
      </c>
      <c r="N215" t="str">
        <f t="shared" si="30"/>
        <v>Match</v>
      </c>
      <c r="O215" t="s">
        <v>1140</v>
      </c>
      <c r="P215">
        <v>0</v>
      </c>
      <c r="Q215" t="str">
        <f t="shared" si="31"/>
        <v>Invalid</v>
      </c>
      <c r="R215" t="s">
        <v>52</v>
      </c>
      <c r="S215" t="s">
        <v>42</v>
      </c>
      <c r="T215" t="s">
        <v>43</v>
      </c>
      <c r="U215" t="s">
        <v>43</v>
      </c>
      <c r="V215" t="s">
        <v>43</v>
      </c>
      <c r="W215" s="4">
        <v>45615</v>
      </c>
      <c r="X215" s="4" t="str">
        <f t="shared" si="32"/>
        <v>Invalid</v>
      </c>
      <c r="Y215" t="s">
        <v>32</v>
      </c>
      <c r="Z215" t="str">
        <f t="shared" si="33"/>
        <v>Valid</v>
      </c>
      <c r="AA215" t="s">
        <v>33</v>
      </c>
      <c r="AB215" t="s">
        <v>1141</v>
      </c>
      <c r="AC215" t="str">
        <f t="shared" si="34"/>
        <v>Not Applicable</v>
      </c>
      <c r="AE215" s="4" t="str">
        <f t="shared" si="35"/>
        <v>Not Applicable</v>
      </c>
      <c r="AF215" t="s">
        <v>34</v>
      </c>
    </row>
    <row r="216" spans="1:32" x14ac:dyDescent="0.3">
      <c r="A216" t="s">
        <v>271</v>
      </c>
      <c r="B216" s="4">
        <v>45580</v>
      </c>
      <c r="C216" t="s">
        <v>272</v>
      </c>
      <c r="D216" t="s">
        <v>25</v>
      </c>
      <c r="E216" t="s">
        <v>1216</v>
      </c>
      <c r="F216" t="s">
        <v>50</v>
      </c>
      <c r="G216" t="s">
        <v>273</v>
      </c>
      <c r="H216">
        <v>1799</v>
      </c>
      <c r="I216" t="str">
        <f t="shared" si="27"/>
        <v>Normal</v>
      </c>
      <c r="J216">
        <v>1</v>
      </c>
      <c r="K216" t="str">
        <f t="shared" si="28"/>
        <v>Normal</v>
      </c>
      <c r="L216">
        <v>1799</v>
      </c>
      <c r="M216">
        <f t="shared" si="29"/>
        <v>1799</v>
      </c>
      <c r="N216" t="str">
        <f t="shared" si="30"/>
        <v>Match</v>
      </c>
      <c r="O216" t="s">
        <v>1140</v>
      </c>
      <c r="P216">
        <v>0</v>
      </c>
      <c r="Q216" t="str">
        <f t="shared" si="31"/>
        <v>Invalid</v>
      </c>
      <c r="R216" t="s">
        <v>52</v>
      </c>
      <c r="S216" t="s">
        <v>29</v>
      </c>
      <c r="T216" t="s">
        <v>43</v>
      </c>
      <c r="U216" t="s">
        <v>43</v>
      </c>
      <c r="V216" t="s">
        <v>43</v>
      </c>
      <c r="X216" s="4" t="str">
        <f t="shared" si="32"/>
        <v>Not applicable</v>
      </c>
      <c r="Y216" t="s">
        <v>32</v>
      </c>
      <c r="Z216" t="str">
        <f t="shared" si="33"/>
        <v>Valid</v>
      </c>
      <c r="AA216" t="s">
        <v>33</v>
      </c>
      <c r="AB216" t="s">
        <v>1141</v>
      </c>
      <c r="AC216" t="str">
        <f t="shared" si="34"/>
        <v>Not Applicable</v>
      </c>
      <c r="AE216" s="4" t="str">
        <f t="shared" si="35"/>
        <v>Not Applicable</v>
      </c>
      <c r="AF216" t="s">
        <v>34</v>
      </c>
    </row>
    <row r="217" spans="1:32" x14ac:dyDescent="0.3">
      <c r="A217" t="s">
        <v>640</v>
      </c>
      <c r="B217" s="4">
        <v>45612</v>
      </c>
      <c r="C217" t="s">
        <v>641</v>
      </c>
      <c r="D217" t="s">
        <v>37</v>
      </c>
      <c r="E217" t="s">
        <v>1208</v>
      </c>
      <c r="F217" t="s">
        <v>50</v>
      </c>
      <c r="G217" t="s">
        <v>642</v>
      </c>
      <c r="H217">
        <v>1899</v>
      </c>
      <c r="I217" t="str">
        <f t="shared" si="27"/>
        <v>Normal</v>
      </c>
      <c r="J217">
        <v>1</v>
      </c>
      <c r="K217" t="str">
        <f t="shared" si="28"/>
        <v>Normal</v>
      </c>
      <c r="L217">
        <v>1899</v>
      </c>
      <c r="M217">
        <f t="shared" si="29"/>
        <v>1899</v>
      </c>
      <c r="N217" t="str">
        <f t="shared" si="30"/>
        <v>Match</v>
      </c>
      <c r="O217" t="s">
        <v>1140</v>
      </c>
      <c r="P217">
        <v>0</v>
      </c>
      <c r="Q217" t="str">
        <f t="shared" si="31"/>
        <v>Invalid</v>
      </c>
      <c r="R217" t="s">
        <v>41</v>
      </c>
      <c r="S217" t="s">
        <v>61</v>
      </c>
      <c r="T217" t="s">
        <v>43</v>
      </c>
      <c r="U217" t="s">
        <v>43</v>
      </c>
      <c r="V217" t="s">
        <v>43</v>
      </c>
      <c r="W217" s="4">
        <v>45625</v>
      </c>
      <c r="X217" s="4" t="str">
        <f t="shared" si="32"/>
        <v>Invalid</v>
      </c>
      <c r="Y217" t="s">
        <v>32</v>
      </c>
      <c r="Z217" t="str">
        <f t="shared" si="33"/>
        <v>Valid</v>
      </c>
      <c r="AA217" t="s">
        <v>33</v>
      </c>
      <c r="AB217" t="s">
        <v>1141</v>
      </c>
      <c r="AC217" t="str">
        <f t="shared" si="34"/>
        <v>Not Applicable</v>
      </c>
      <c r="AE217" s="4" t="str">
        <f t="shared" si="35"/>
        <v>Not Applicable</v>
      </c>
      <c r="AF217" t="s">
        <v>34</v>
      </c>
    </row>
    <row r="218" spans="1:32" x14ac:dyDescent="0.3">
      <c r="A218" t="s">
        <v>462</v>
      </c>
      <c r="B218" s="4">
        <v>45595</v>
      </c>
      <c r="C218" t="s">
        <v>463</v>
      </c>
      <c r="D218" t="s">
        <v>37</v>
      </c>
      <c r="E218" t="s">
        <v>1344</v>
      </c>
      <c r="F218" t="s">
        <v>57</v>
      </c>
      <c r="G218" t="s">
        <v>464</v>
      </c>
      <c r="H218">
        <v>4999</v>
      </c>
      <c r="I218" t="str">
        <f t="shared" si="27"/>
        <v>Normal</v>
      </c>
      <c r="J218">
        <v>1</v>
      </c>
      <c r="K218" t="str">
        <f t="shared" si="28"/>
        <v>Normal</v>
      </c>
      <c r="L218">
        <v>4999</v>
      </c>
      <c r="M218">
        <f t="shared" si="29"/>
        <v>2999.4</v>
      </c>
      <c r="N218" t="str">
        <f t="shared" si="30"/>
        <v>Mismatch</v>
      </c>
      <c r="O218" t="s">
        <v>425</v>
      </c>
      <c r="P218">
        <v>40</v>
      </c>
      <c r="Q218" t="str">
        <f t="shared" si="31"/>
        <v>Invalid</v>
      </c>
      <c r="R218" t="s">
        <v>60</v>
      </c>
      <c r="S218" t="s">
        <v>42</v>
      </c>
      <c r="T218" t="s">
        <v>43</v>
      </c>
      <c r="U218" t="s">
        <v>43</v>
      </c>
      <c r="V218" t="s">
        <v>43</v>
      </c>
      <c r="W218" s="4">
        <v>45606</v>
      </c>
      <c r="X218" s="4" t="str">
        <f t="shared" si="32"/>
        <v>Invalid</v>
      </c>
      <c r="Y218" t="s">
        <v>32</v>
      </c>
      <c r="Z218" t="str">
        <f t="shared" si="33"/>
        <v>Valid</v>
      </c>
      <c r="AA218" t="s">
        <v>33</v>
      </c>
      <c r="AB218" t="s">
        <v>1141</v>
      </c>
      <c r="AC218" t="str">
        <f t="shared" si="34"/>
        <v>Not Applicable</v>
      </c>
      <c r="AE218" s="4" t="str">
        <f t="shared" si="35"/>
        <v>Not Applicable</v>
      </c>
      <c r="AF218" t="s">
        <v>34</v>
      </c>
    </row>
    <row r="219" spans="1:32" x14ac:dyDescent="0.3">
      <c r="A219" t="s">
        <v>526</v>
      </c>
      <c r="B219" s="4">
        <v>45600</v>
      </c>
      <c r="C219" t="s">
        <v>527</v>
      </c>
      <c r="D219" t="s">
        <v>25</v>
      </c>
      <c r="E219" t="s">
        <v>1180</v>
      </c>
      <c r="F219" t="s">
        <v>66</v>
      </c>
      <c r="G219" t="s">
        <v>528</v>
      </c>
      <c r="H219">
        <v>799</v>
      </c>
      <c r="I219" t="str">
        <f t="shared" si="27"/>
        <v>Normal</v>
      </c>
      <c r="J219">
        <v>1</v>
      </c>
      <c r="K219" t="str">
        <f t="shared" si="28"/>
        <v>Normal</v>
      </c>
      <c r="L219">
        <v>799</v>
      </c>
      <c r="M219">
        <f t="shared" si="29"/>
        <v>479.4</v>
      </c>
      <c r="N219" t="str">
        <f t="shared" si="30"/>
        <v>Mismatch</v>
      </c>
      <c r="O219" t="s">
        <v>425</v>
      </c>
      <c r="P219">
        <v>40</v>
      </c>
      <c r="Q219" t="str">
        <f t="shared" si="31"/>
        <v>Invalid</v>
      </c>
      <c r="R219" t="s">
        <v>28</v>
      </c>
      <c r="S219" t="s">
        <v>29</v>
      </c>
      <c r="T219" t="s">
        <v>43</v>
      </c>
      <c r="U219" t="s">
        <v>43</v>
      </c>
      <c r="V219" t="s">
        <v>43</v>
      </c>
      <c r="W219" s="4">
        <v>45612</v>
      </c>
      <c r="X219" s="4" t="str">
        <f t="shared" si="32"/>
        <v>Invalid</v>
      </c>
      <c r="Y219" t="s">
        <v>32</v>
      </c>
      <c r="Z219" t="str">
        <f t="shared" si="33"/>
        <v>Valid</v>
      </c>
      <c r="AA219" t="s">
        <v>33</v>
      </c>
      <c r="AB219" t="s">
        <v>1141</v>
      </c>
      <c r="AC219" t="str">
        <f t="shared" si="34"/>
        <v>Not Applicable</v>
      </c>
      <c r="AE219" s="4" t="str">
        <f t="shared" si="35"/>
        <v>Not Applicable</v>
      </c>
      <c r="AF219" t="s">
        <v>34</v>
      </c>
    </row>
    <row r="220" spans="1:32" x14ac:dyDescent="0.3">
      <c r="A220" t="s">
        <v>301</v>
      </c>
      <c r="B220" s="4">
        <v>45582</v>
      </c>
      <c r="C220" t="s">
        <v>302</v>
      </c>
      <c r="D220" t="s">
        <v>37</v>
      </c>
      <c r="E220" t="s">
        <v>1225</v>
      </c>
      <c r="F220" t="s">
        <v>50</v>
      </c>
      <c r="G220" t="s">
        <v>303</v>
      </c>
      <c r="H220">
        <v>2099</v>
      </c>
      <c r="I220" t="str">
        <f t="shared" si="27"/>
        <v>Normal</v>
      </c>
      <c r="J220">
        <v>1</v>
      </c>
      <c r="K220" t="str">
        <f t="shared" si="28"/>
        <v>Normal</v>
      </c>
      <c r="L220">
        <v>2099</v>
      </c>
      <c r="M220">
        <f t="shared" si="29"/>
        <v>1784.1499999999999</v>
      </c>
      <c r="N220" t="str">
        <f t="shared" si="30"/>
        <v>Mismatch</v>
      </c>
      <c r="O220" t="s">
        <v>59</v>
      </c>
      <c r="P220">
        <v>15</v>
      </c>
      <c r="Q220" t="str">
        <f t="shared" si="31"/>
        <v>Invalid</v>
      </c>
      <c r="R220" t="s">
        <v>28</v>
      </c>
      <c r="S220" t="s">
        <v>61</v>
      </c>
      <c r="T220" t="s">
        <v>43</v>
      </c>
      <c r="U220" t="s">
        <v>43</v>
      </c>
      <c r="V220" t="s">
        <v>43</v>
      </c>
      <c r="W220" s="4">
        <v>45594</v>
      </c>
      <c r="X220" s="4" t="str">
        <f t="shared" si="32"/>
        <v>Invalid</v>
      </c>
      <c r="Y220" t="s">
        <v>32</v>
      </c>
      <c r="Z220" t="str">
        <f t="shared" si="33"/>
        <v>Valid</v>
      </c>
      <c r="AA220" t="s">
        <v>33</v>
      </c>
      <c r="AB220" t="s">
        <v>1141</v>
      </c>
      <c r="AC220" t="str">
        <f t="shared" si="34"/>
        <v>Not Applicable</v>
      </c>
      <c r="AE220" s="4" t="str">
        <f t="shared" si="35"/>
        <v>Not Applicable</v>
      </c>
      <c r="AF220" t="s">
        <v>34</v>
      </c>
    </row>
    <row r="221" spans="1:32" x14ac:dyDescent="0.3">
      <c r="A221" t="s">
        <v>384</v>
      </c>
      <c r="B221" s="4">
        <v>45589</v>
      </c>
      <c r="C221" t="s">
        <v>385</v>
      </c>
      <c r="D221" t="s">
        <v>37</v>
      </c>
      <c r="E221" t="s">
        <v>1393</v>
      </c>
      <c r="F221" t="s">
        <v>57</v>
      </c>
      <c r="G221" t="s">
        <v>386</v>
      </c>
      <c r="H221">
        <v>2799</v>
      </c>
      <c r="I221" t="str">
        <f t="shared" si="27"/>
        <v>Normal</v>
      </c>
      <c r="J221">
        <v>1</v>
      </c>
      <c r="K221" t="str">
        <f t="shared" si="28"/>
        <v>Normal</v>
      </c>
      <c r="L221">
        <v>2799</v>
      </c>
      <c r="M221">
        <f t="shared" si="29"/>
        <v>2239.2000000000003</v>
      </c>
      <c r="N221" t="str">
        <f t="shared" si="30"/>
        <v>Mismatch</v>
      </c>
      <c r="O221" t="s">
        <v>40</v>
      </c>
      <c r="P221">
        <v>20</v>
      </c>
      <c r="Q221" t="str">
        <f t="shared" si="31"/>
        <v>Invalid</v>
      </c>
      <c r="R221" t="s">
        <v>28</v>
      </c>
      <c r="S221" t="s">
        <v>42</v>
      </c>
      <c r="T221" t="s">
        <v>43</v>
      </c>
      <c r="U221" t="s">
        <v>43</v>
      </c>
      <c r="V221" t="s">
        <v>43</v>
      </c>
      <c r="W221" s="4">
        <v>45601</v>
      </c>
      <c r="X221" s="4" t="str">
        <f t="shared" si="32"/>
        <v>Invalid</v>
      </c>
      <c r="Y221" t="s">
        <v>32</v>
      </c>
      <c r="Z221" t="str">
        <f t="shared" si="33"/>
        <v>Valid</v>
      </c>
      <c r="AA221" t="s">
        <v>33</v>
      </c>
      <c r="AB221" t="s">
        <v>1141</v>
      </c>
      <c r="AC221" t="str">
        <f t="shared" si="34"/>
        <v>Not Applicable</v>
      </c>
      <c r="AE221" s="4" t="str">
        <f t="shared" si="35"/>
        <v>Not Applicable</v>
      </c>
      <c r="AF221" t="s">
        <v>34</v>
      </c>
    </row>
    <row r="222" spans="1:32" x14ac:dyDescent="0.3">
      <c r="A222" t="s">
        <v>187</v>
      </c>
      <c r="B222" s="4">
        <v>45573</v>
      </c>
      <c r="C222" t="s">
        <v>188</v>
      </c>
      <c r="D222" t="s">
        <v>25</v>
      </c>
      <c r="E222" t="s">
        <v>1408</v>
      </c>
      <c r="F222" t="s">
        <v>26</v>
      </c>
      <c r="G222" t="s">
        <v>189</v>
      </c>
      <c r="H222">
        <v>899</v>
      </c>
      <c r="I222" t="str">
        <f t="shared" si="27"/>
        <v>Normal</v>
      </c>
      <c r="J222">
        <v>2</v>
      </c>
      <c r="K222" t="str">
        <f t="shared" si="28"/>
        <v>Normal</v>
      </c>
      <c r="L222">
        <v>1798</v>
      </c>
      <c r="M222">
        <f t="shared" si="29"/>
        <v>1798</v>
      </c>
      <c r="N222" t="str">
        <f t="shared" si="30"/>
        <v>Match</v>
      </c>
      <c r="O222" t="s">
        <v>1140</v>
      </c>
      <c r="P222">
        <v>0</v>
      </c>
      <c r="Q222" t="str">
        <f t="shared" si="31"/>
        <v>Invalid</v>
      </c>
      <c r="R222" t="s">
        <v>28</v>
      </c>
      <c r="S222" t="s">
        <v>29</v>
      </c>
      <c r="T222" t="s">
        <v>43</v>
      </c>
      <c r="U222" t="s">
        <v>43</v>
      </c>
      <c r="V222" t="s">
        <v>43</v>
      </c>
      <c r="W222" s="4">
        <v>45579</v>
      </c>
      <c r="X222" s="4" t="str">
        <f t="shared" si="32"/>
        <v>Invalid</v>
      </c>
      <c r="Y222" t="s">
        <v>32</v>
      </c>
      <c r="Z222" t="str">
        <f t="shared" si="33"/>
        <v>Valid</v>
      </c>
      <c r="AA222" t="s">
        <v>33</v>
      </c>
      <c r="AB222" t="s">
        <v>1141</v>
      </c>
      <c r="AC222" t="str">
        <f t="shared" si="34"/>
        <v>Not Applicable</v>
      </c>
      <c r="AE222" s="4" t="str">
        <f t="shared" si="35"/>
        <v>Not Applicable</v>
      </c>
      <c r="AF222" t="s">
        <v>34</v>
      </c>
    </row>
    <row r="223" spans="1:32" x14ac:dyDescent="0.3">
      <c r="A223" t="s">
        <v>803</v>
      </c>
      <c r="B223" s="4">
        <v>45629</v>
      </c>
      <c r="C223" t="s">
        <v>804</v>
      </c>
      <c r="D223" t="s">
        <v>25</v>
      </c>
      <c r="E223" t="s">
        <v>1341</v>
      </c>
      <c r="F223" t="s">
        <v>38</v>
      </c>
      <c r="G223" t="s">
        <v>231</v>
      </c>
      <c r="H223">
        <v>2499</v>
      </c>
      <c r="I223" t="str">
        <f t="shared" si="27"/>
        <v>Normal</v>
      </c>
      <c r="J223">
        <v>1</v>
      </c>
      <c r="K223" t="str">
        <f t="shared" si="28"/>
        <v>Normal</v>
      </c>
      <c r="L223">
        <v>2499</v>
      </c>
      <c r="M223">
        <f t="shared" si="29"/>
        <v>1999.2</v>
      </c>
      <c r="N223" t="str">
        <f t="shared" si="30"/>
        <v>Mismatch</v>
      </c>
      <c r="O223" s="1">
        <v>44166</v>
      </c>
      <c r="P223">
        <v>20</v>
      </c>
      <c r="Q223" t="str">
        <f t="shared" si="31"/>
        <v>Invalid</v>
      </c>
      <c r="R223" t="s">
        <v>41</v>
      </c>
      <c r="S223" t="s">
        <v>29</v>
      </c>
      <c r="T223" t="s">
        <v>805</v>
      </c>
      <c r="U223" t="s">
        <v>806</v>
      </c>
      <c r="V223" t="s">
        <v>43</v>
      </c>
      <c r="W223" s="4">
        <v>45638</v>
      </c>
      <c r="X223" s="4" t="str">
        <f t="shared" si="32"/>
        <v>Invalid</v>
      </c>
      <c r="Y223" t="s">
        <v>32</v>
      </c>
      <c r="Z223" t="str">
        <f t="shared" si="33"/>
        <v>Valid</v>
      </c>
      <c r="AA223" t="s">
        <v>33</v>
      </c>
      <c r="AB223" t="s">
        <v>1141</v>
      </c>
      <c r="AC223" t="str">
        <f t="shared" si="34"/>
        <v>Not Applicable</v>
      </c>
      <c r="AE223" s="4" t="str">
        <f t="shared" si="35"/>
        <v>Not Applicable</v>
      </c>
      <c r="AF223" t="s">
        <v>34</v>
      </c>
    </row>
    <row r="224" spans="1:32" x14ac:dyDescent="0.3">
      <c r="A224" t="s">
        <v>855</v>
      </c>
      <c r="B224" s="4">
        <v>45633</v>
      </c>
      <c r="C224" t="s">
        <v>856</v>
      </c>
      <c r="D224" t="s">
        <v>25</v>
      </c>
      <c r="E224" t="s">
        <v>1447</v>
      </c>
      <c r="F224" t="s">
        <v>26</v>
      </c>
      <c r="G224" t="s">
        <v>857</v>
      </c>
      <c r="H224">
        <v>1899</v>
      </c>
      <c r="I224" t="str">
        <f t="shared" si="27"/>
        <v>Normal</v>
      </c>
      <c r="J224">
        <v>1</v>
      </c>
      <c r="K224" t="str">
        <f t="shared" si="28"/>
        <v>Normal</v>
      </c>
      <c r="L224">
        <v>1899</v>
      </c>
      <c r="M224">
        <f t="shared" si="29"/>
        <v>1899</v>
      </c>
      <c r="N224" t="str">
        <f t="shared" si="30"/>
        <v>Match</v>
      </c>
      <c r="O224" s="1" t="s">
        <v>1140</v>
      </c>
      <c r="P224">
        <v>0</v>
      </c>
      <c r="Q224" t="str">
        <f t="shared" si="31"/>
        <v>Invalid</v>
      </c>
      <c r="R224" t="s">
        <v>60</v>
      </c>
      <c r="S224" t="s">
        <v>29</v>
      </c>
      <c r="T224" t="s">
        <v>828</v>
      </c>
      <c r="U224" t="s">
        <v>828</v>
      </c>
      <c r="V224" t="s">
        <v>30</v>
      </c>
      <c r="X224" s="4" t="str">
        <f t="shared" si="32"/>
        <v>Not applicable</v>
      </c>
      <c r="Y224" t="s">
        <v>32</v>
      </c>
      <c r="Z224" t="str">
        <f t="shared" si="33"/>
        <v>Valid</v>
      </c>
      <c r="AA224" t="s">
        <v>33</v>
      </c>
      <c r="AB224" t="s">
        <v>1141</v>
      </c>
      <c r="AC224" t="str">
        <f t="shared" si="34"/>
        <v>Not Applicable</v>
      </c>
      <c r="AE224" s="4" t="str">
        <f t="shared" si="35"/>
        <v>Not Applicable</v>
      </c>
      <c r="AF224" t="s">
        <v>34</v>
      </c>
    </row>
    <row r="225" spans="1:32" x14ac:dyDescent="0.3">
      <c r="A225" t="s">
        <v>481</v>
      </c>
      <c r="B225" s="4">
        <v>45596</v>
      </c>
      <c r="C225" t="s">
        <v>482</v>
      </c>
      <c r="D225" t="s">
        <v>25</v>
      </c>
      <c r="E225" t="s">
        <v>1202</v>
      </c>
      <c r="F225" t="s">
        <v>66</v>
      </c>
      <c r="G225" t="s">
        <v>483</v>
      </c>
      <c r="H225">
        <v>1199</v>
      </c>
      <c r="I225" t="str">
        <f t="shared" si="27"/>
        <v>Normal</v>
      </c>
      <c r="J225">
        <v>1</v>
      </c>
      <c r="K225" t="str">
        <f t="shared" si="28"/>
        <v>Normal</v>
      </c>
      <c r="L225">
        <v>1199</v>
      </c>
      <c r="M225">
        <f t="shared" si="29"/>
        <v>719.4</v>
      </c>
      <c r="N225" t="str">
        <f t="shared" si="30"/>
        <v>Mismatch</v>
      </c>
      <c r="O225" t="s">
        <v>425</v>
      </c>
      <c r="P225">
        <v>40</v>
      </c>
      <c r="Q225" t="str">
        <f t="shared" si="31"/>
        <v>Invalid</v>
      </c>
      <c r="R225" t="s">
        <v>52</v>
      </c>
      <c r="S225" t="s">
        <v>29</v>
      </c>
      <c r="T225" t="s">
        <v>126</v>
      </c>
      <c r="U225" t="s">
        <v>127</v>
      </c>
      <c r="V225" t="s">
        <v>43</v>
      </c>
      <c r="X225" s="4" t="str">
        <f t="shared" si="32"/>
        <v>Not applicable</v>
      </c>
      <c r="Y225" t="s">
        <v>32</v>
      </c>
      <c r="Z225" t="str">
        <f t="shared" si="33"/>
        <v>Valid</v>
      </c>
      <c r="AA225" t="s">
        <v>33</v>
      </c>
      <c r="AB225" t="s">
        <v>1141</v>
      </c>
      <c r="AC225" t="str">
        <f t="shared" si="34"/>
        <v>Not Applicable</v>
      </c>
      <c r="AE225" s="4" t="str">
        <f t="shared" si="35"/>
        <v>Not Applicable</v>
      </c>
      <c r="AF225" t="s">
        <v>34</v>
      </c>
    </row>
    <row r="226" spans="1:32" x14ac:dyDescent="0.3">
      <c r="A226" t="s">
        <v>393</v>
      </c>
      <c r="B226" s="4">
        <v>45590</v>
      </c>
      <c r="C226" t="s">
        <v>394</v>
      </c>
      <c r="D226" t="s">
        <v>25</v>
      </c>
      <c r="E226" t="s">
        <v>1310</v>
      </c>
      <c r="F226" t="s">
        <v>38</v>
      </c>
      <c r="G226" t="s">
        <v>130</v>
      </c>
      <c r="H226">
        <v>2799</v>
      </c>
      <c r="I226" t="str">
        <f t="shared" si="27"/>
        <v>Normal</v>
      </c>
      <c r="J226">
        <v>1</v>
      </c>
      <c r="K226" t="str">
        <f t="shared" si="28"/>
        <v>Normal</v>
      </c>
      <c r="L226">
        <v>2799</v>
      </c>
      <c r="M226">
        <f t="shared" si="29"/>
        <v>2519.1</v>
      </c>
      <c r="N226" t="str">
        <f t="shared" si="30"/>
        <v>Mismatch</v>
      </c>
      <c r="O226" t="s">
        <v>99</v>
      </c>
      <c r="P226">
        <v>10</v>
      </c>
      <c r="Q226" t="str">
        <f t="shared" si="31"/>
        <v>Invalid</v>
      </c>
      <c r="R226" t="s">
        <v>41</v>
      </c>
      <c r="S226" t="s">
        <v>42</v>
      </c>
      <c r="T226" t="s">
        <v>126</v>
      </c>
      <c r="U226" t="s">
        <v>127</v>
      </c>
      <c r="V226" t="s">
        <v>43</v>
      </c>
      <c r="W226" s="4">
        <v>45602</v>
      </c>
      <c r="X226" s="4" t="str">
        <f t="shared" si="32"/>
        <v>Invalid</v>
      </c>
      <c r="Y226" t="s">
        <v>32</v>
      </c>
      <c r="Z226" t="str">
        <f t="shared" si="33"/>
        <v>Valid</v>
      </c>
      <c r="AA226" t="s">
        <v>33</v>
      </c>
      <c r="AB226" t="s">
        <v>1141</v>
      </c>
      <c r="AC226" t="str">
        <f t="shared" si="34"/>
        <v>Not Applicable</v>
      </c>
      <c r="AE226" s="4" t="str">
        <f t="shared" si="35"/>
        <v>Not Applicable</v>
      </c>
      <c r="AF226" t="s">
        <v>34</v>
      </c>
    </row>
    <row r="227" spans="1:32" x14ac:dyDescent="0.3">
      <c r="A227" t="s">
        <v>226</v>
      </c>
      <c r="B227" s="4">
        <v>45576</v>
      </c>
      <c r="C227" t="s">
        <v>227</v>
      </c>
      <c r="D227" t="s">
        <v>25</v>
      </c>
      <c r="E227" t="s">
        <v>1212</v>
      </c>
      <c r="F227" t="s">
        <v>50</v>
      </c>
      <c r="G227" t="s">
        <v>228</v>
      </c>
      <c r="H227">
        <v>1999</v>
      </c>
      <c r="I227" t="str">
        <f t="shared" si="27"/>
        <v>Normal</v>
      </c>
      <c r="J227">
        <v>1</v>
      </c>
      <c r="K227" t="str">
        <f t="shared" si="28"/>
        <v>Normal</v>
      </c>
      <c r="L227">
        <v>1999</v>
      </c>
      <c r="M227">
        <f t="shared" si="29"/>
        <v>1699.1499999999999</v>
      </c>
      <c r="N227" t="str">
        <f t="shared" si="30"/>
        <v>Mismatch</v>
      </c>
      <c r="O227" t="s">
        <v>59</v>
      </c>
      <c r="P227">
        <v>15</v>
      </c>
      <c r="Q227" t="str">
        <f t="shared" si="31"/>
        <v>Invalid</v>
      </c>
      <c r="R227" t="s">
        <v>28</v>
      </c>
      <c r="S227" t="s">
        <v>42</v>
      </c>
      <c r="T227" t="s">
        <v>126</v>
      </c>
      <c r="U227" t="s">
        <v>127</v>
      </c>
      <c r="V227" t="s">
        <v>43</v>
      </c>
      <c r="W227" s="4">
        <v>45584</v>
      </c>
      <c r="X227" s="4" t="str">
        <f t="shared" si="32"/>
        <v>Invalid</v>
      </c>
      <c r="Y227" t="s">
        <v>32</v>
      </c>
      <c r="Z227" t="str">
        <f t="shared" si="33"/>
        <v>Valid</v>
      </c>
      <c r="AA227" t="s">
        <v>33</v>
      </c>
      <c r="AB227" t="s">
        <v>1141</v>
      </c>
      <c r="AC227" t="str">
        <f t="shared" si="34"/>
        <v>Not Applicable</v>
      </c>
      <c r="AE227" s="4" t="str">
        <f t="shared" si="35"/>
        <v>Not Applicable</v>
      </c>
      <c r="AF227" t="s">
        <v>34</v>
      </c>
    </row>
    <row r="228" spans="1:32" x14ac:dyDescent="0.3">
      <c r="A228" t="s">
        <v>123</v>
      </c>
      <c r="B228" s="4">
        <v>45569</v>
      </c>
      <c r="C228" t="s">
        <v>124</v>
      </c>
      <c r="D228" t="s">
        <v>25</v>
      </c>
      <c r="E228" t="s">
        <v>1420</v>
      </c>
      <c r="F228" t="s">
        <v>26</v>
      </c>
      <c r="G228" t="s">
        <v>125</v>
      </c>
      <c r="H228">
        <v>999</v>
      </c>
      <c r="I228" t="str">
        <f t="shared" si="27"/>
        <v>Normal</v>
      </c>
      <c r="J228">
        <v>1</v>
      </c>
      <c r="K228" t="str">
        <f t="shared" si="28"/>
        <v>Normal</v>
      </c>
      <c r="L228">
        <v>999</v>
      </c>
      <c r="M228">
        <f t="shared" si="29"/>
        <v>849.15</v>
      </c>
      <c r="N228" t="str">
        <f t="shared" si="30"/>
        <v>Mismatch</v>
      </c>
      <c r="O228" t="s">
        <v>59</v>
      </c>
      <c r="P228">
        <v>15</v>
      </c>
      <c r="Q228" t="str">
        <f t="shared" si="31"/>
        <v>Invalid</v>
      </c>
      <c r="R228" t="s">
        <v>28</v>
      </c>
      <c r="S228" t="s">
        <v>42</v>
      </c>
      <c r="T228" t="s">
        <v>126</v>
      </c>
      <c r="U228" t="s">
        <v>127</v>
      </c>
      <c r="V228" t="s">
        <v>43</v>
      </c>
      <c r="W228" s="4">
        <v>45577</v>
      </c>
      <c r="X228" s="4" t="str">
        <f t="shared" si="32"/>
        <v>Invalid</v>
      </c>
      <c r="Y228" t="s">
        <v>32</v>
      </c>
      <c r="Z228" t="str">
        <f t="shared" si="33"/>
        <v>Valid</v>
      </c>
      <c r="AA228" t="s">
        <v>33</v>
      </c>
      <c r="AB228" t="s">
        <v>1141</v>
      </c>
      <c r="AC228" t="str">
        <f t="shared" si="34"/>
        <v>Not Applicable</v>
      </c>
      <c r="AE228" s="4" t="str">
        <f t="shared" si="35"/>
        <v>Not Applicable</v>
      </c>
      <c r="AF228" t="s">
        <v>34</v>
      </c>
    </row>
    <row r="229" spans="1:32" x14ac:dyDescent="0.3">
      <c r="A229" t="s">
        <v>1058</v>
      </c>
      <c r="B229" s="4">
        <v>45650</v>
      </c>
      <c r="C229" t="s">
        <v>1059</v>
      </c>
      <c r="D229" t="s">
        <v>37</v>
      </c>
      <c r="E229" t="s">
        <v>1145</v>
      </c>
      <c r="F229" t="s">
        <v>66</v>
      </c>
      <c r="G229" t="s">
        <v>1060</v>
      </c>
      <c r="H229">
        <v>499</v>
      </c>
      <c r="I229" t="str">
        <f t="shared" si="27"/>
        <v>Normal</v>
      </c>
      <c r="J229">
        <v>3</v>
      </c>
      <c r="K229" t="str">
        <f t="shared" si="28"/>
        <v>Normal</v>
      </c>
      <c r="L229">
        <v>1497</v>
      </c>
      <c r="M229">
        <f t="shared" si="29"/>
        <v>1197.6000000000001</v>
      </c>
      <c r="N229" t="str">
        <f t="shared" si="30"/>
        <v>Mismatch</v>
      </c>
      <c r="O229" s="1">
        <v>44166</v>
      </c>
      <c r="P229">
        <v>20</v>
      </c>
      <c r="Q229" t="str">
        <f t="shared" si="31"/>
        <v>Invalid</v>
      </c>
      <c r="R229" t="s">
        <v>100</v>
      </c>
      <c r="S229" t="s">
        <v>29</v>
      </c>
      <c r="T229" t="s">
        <v>126</v>
      </c>
      <c r="U229" t="s">
        <v>127</v>
      </c>
      <c r="V229" t="s">
        <v>43</v>
      </c>
      <c r="W229" s="4">
        <v>45673</v>
      </c>
      <c r="X229" s="4" t="str">
        <f t="shared" si="32"/>
        <v>Invalid</v>
      </c>
      <c r="Y229" t="s">
        <v>32</v>
      </c>
      <c r="Z229" t="str">
        <f t="shared" si="33"/>
        <v>Valid</v>
      </c>
      <c r="AA229" t="s">
        <v>33</v>
      </c>
      <c r="AB229" t="s">
        <v>1141</v>
      </c>
      <c r="AC229" t="str">
        <f t="shared" si="34"/>
        <v>Not Applicable</v>
      </c>
      <c r="AE229" s="4" t="str">
        <f t="shared" si="35"/>
        <v>Not Applicable</v>
      </c>
      <c r="AF229" t="s">
        <v>34</v>
      </c>
    </row>
    <row r="230" spans="1:32" x14ac:dyDescent="0.3">
      <c r="A230" t="s">
        <v>363</v>
      </c>
      <c r="B230" s="4">
        <v>45587</v>
      </c>
      <c r="C230" t="s">
        <v>364</v>
      </c>
      <c r="D230" t="s">
        <v>25</v>
      </c>
      <c r="E230" t="s">
        <v>1307</v>
      </c>
      <c r="F230" t="s">
        <v>38</v>
      </c>
      <c r="G230" t="s">
        <v>365</v>
      </c>
      <c r="H230">
        <v>2599</v>
      </c>
      <c r="I230" t="str">
        <f t="shared" si="27"/>
        <v>Normal</v>
      </c>
      <c r="J230">
        <v>1</v>
      </c>
      <c r="K230" t="str">
        <f t="shared" si="28"/>
        <v>Normal</v>
      </c>
      <c r="L230">
        <v>2599</v>
      </c>
      <c r="M230">
        <f t="shared" si="29"/>
        <v>2599</v>
      </c>
      <c r="N230" t="str">
        <f t="shared" si="30"/>
        <v>Match</v>
      </c>
      <c r="O230" t="s">
        <v>1140</v>
      </c>
      <c r="P230">
        <v>0</v>
      </c>
      <c r="Q230" t="str">
        <f t="shared" si="31"/>
        <v>Invalid</v>
      </c>
      <c r="R230" t="s">
        <v>52</v>
      </c>
      <c r="S230" t="s">
        <v>61</v>
      </c>
      <c r="T230" t="s">
        <v>71</v>
      </c>
      <c r="U230" t="s">
        <v>72</v>
      </c>
      <c r="V230" t="s">
        <v>53</v>
      </c>
      <c r="X230" s="4" t="str">
        <f t="shared" si="32"/>
        <v>Not applicable</v>
      </c>
      <c r="Y230" t="s">
        <v>32</v>
      </c>
      <c r="Z230" t="str">
        <f t="shared" si="33"/>
        <v>Valid</v>
      </c>
      <c r="AA230" t="s">
        <v>33</v>
      </c>
      <c r="AB230" t="s">
        <v>1141</v>
      </c>
      <c r="AC230" t="str">
        <f t="shared" si="34"/>
        <v>Not Applicable</v>
      </c>
      <c r="AE230" s="4" t="str">
        <f t="shared" si="35"/>
        <v>Not Applicable</v>
      </c>
      <c r="AF230" t="s">
        <v>34</v>
      </c>
    </row>
    <row r="231" spans="1:32" x14ac:dyDescent="0.3">
      <c r="A231" t="s">
        <v>535</v>
      </c>
      <c r="B231" s="4">
        <v>45601</v>
      </c>
      <c r="C231" t="s">
        <v>536</v>
      </c>
      <c r="D231" t="s">
        <v>37</v>
      </c>
      <c r="E231" t="s">
        <v>1254</v>
      </c>
      <c r="F231" t="s">
        <v>50</v>
      </c>
      <c r="G231" t="s">
        <v>537</v>
      </c>
      <c r="H231">
        <v>1499</v>
      </c>
      <c r="I231" t="str">
        <f t="shared" si="27"/>
        <v>Normal</v>
      </c>
      <c r="J231">
        <v>1</v>
      </c>
      <c r="K231" t="str">
        <f t="shared" si="28"/>
        <v>Normal</v>
      </c>
      <c r="L231">
        <v>1499</v>
      </c>
      <c r="M231">
        <f t="shared" si="29"/>
        <v>899.4</v>
      </c>
      <c r="N231" t="str">
        <f t="shared" si="30"/>
        <v>Mismatch</v>
      </c>
      <c r="O231" t="s">
        <v>425</v>
      </c>
      <c r="P231">
        <v>40</v>
      </c>
      <c r="Q231" t="str">
        <f t="shared" si="31"/>
        <v>Invalid</v>
      </c>
      <c r="R231" t="s">
        <v>41</v>
      </c>
      <c r="S231" t="s">
        <v>29</v>
      </c>
      <c r="T231" t="s">
        <v>71</v>
      </c>
      <c r="U231" t="s">
        <v>72</v>
      </c>
      <c r="V231" t="s">
        <v>53</v>
      </c>
      <c r="W231" s="4">
        <v>45613</v>
      </c>
      <c r="X231" s="4" t="str">
        <f t="shared" si="32"/>
        <v>Invalid</v>
      </c>
      <c r="Y231" t="s">
        <v>32</v>
      </c>
      <c r="Z231" t="str">
        <f t="shared" si="33"/>
        <v>Valid</v>
      </c>
      <c r="AA231" t="s">
        <v>33</v>
      </c>
      <c r="AB231" t="s">
        <v>1141</v>
      </c>
      <c r="AC231" t="str">
        <f t="shared" si="34"/>
        <v>Not Applicable</v>
      </c>
      <c r="AE231" s="4" t="str">
        <f t="shared" si="35"/>
        <v>Not Applicable</v>
      </c>
      <c r="AF231" t="s">
        <v>34</v>
      </c>
    </row>
    <row r="232" spans="1:32" x14ac:dyDescent="0.3">
      <c r="A232" t="s">
        <v>837</v>
      </c>
      <c r="B232" s="4">
        <v>45631</v>
      </c>
      <c r="C232" t="s">
        <v>838</v>
      </c>
      <c r="D232" t="s">
        <v>25</v>
      </c>
      <c r="E232" t="s">
        <v>1156</v>
      </c>
      <c r="F232" t="s">
        <v>66</v>
      </c>
      <c r="G232" t="s">
        <v>839</v>
      </c>
      <c r="H232">
        <v>1799</v>
      </c>
      <c r="I232" t="str">
        <f t="shared" si="27"/>
        <v>Normal</v>
      </c>
      <c r="J232">
        <v>1</v>
      </c>
      <c r="K232" t="str">
        <f t="shared" si="28"/>
        <v>Normal</v>
      </c>
      <c r="L232">
        <v>1799</v>
      </c>
      <c r="M232">
        <f t="shared" si="29"/>
        <v>1799</v>
      </c>
      <c r="N232" t="str">
        <f t="shared" si="30"/>
        <v>Match</v>
      </c>
      <c r="O232" t="s">
        <v>1140</v>
      </c>
      <c r="P232">
        <v>0</v>
      </c>
      <c r="Q232" t="str">
        <f t="shared" si="31"/>
        <v>Invalid</v>
      </c>
      <c r="R232" t="s">
        <v>28</v>
      </c>
      <c r="S232" t="s">
        <v>29</v>
      </c>
      <c r="T232" t="s">
        <v>71</v>
      </c>
      <c r="U232" t="s">
        <v>72</v>
      </c>
      <c r="V232" t="s">
        <v>53</v>
      </c>
      <c r="W232" s="4">
        <v>45642</v>
      </c>
      <c r="X232" s="4" t="str">
        <f t="shared" si="32"/>
        <v>Invalid</v>
      </c>
      <c r="Y232" t="s">
        <v>32</v>
      </c>
      <c r="Z232" t="str">
        <f t="shared" si="33"/>
        <v>Valid</v>
      </c>
      <c r="AA232" t="s">
        <v>33</v>
      </c>
      <c r="AB232" t="s">
        <v>1141</v>
      </c>
      <c r="AC232" t="str">
        <f t="shared" si="34"/>
        <v>Not Applicable</v>
      </c>
      <c r="AE232" s="4" t="str">
        <f t="shared" si="35"/>
        <v>Not Applicable</v>
      </c>
      <c r="AF232" t="s">
        <v>34</v>
      </c>
    </row>
    <row r="233" spans="1:32" x14ac:dyDescent="0.3">
      <c r="A233" t="s">
        <v>619</v>
      </c>
      <c r="B233" s="4">
        <v>45610</v>
      </c>
      <c r="C233" t="s">
        <v>620</v>
      </c>
      <c r="D233" t="s">
        <v>25</v>
      </c>
      <c r="E233" t="s">
        <v>1411</v>
      </c>
      <c r="F233" t="s">
        <v>26</v>
      </c>
      <c r="G233" t="s">
        <v>621</v>
      </c>
      <c r="H233">
        <v>1699</v>
      </c>
      <c r="I233" t="str">
        <f t="shared" si="27"/>
        <v>Normal</v>
      </c>
      <c r="J233">
        <v>1</v>
      </c>
      <c r="K233" t="str">
        <f t="shared" si="28"/>
        <v>Normal</v>
      </c>
      <c r="L233">
        <v>1699</v>
      </c>
      <c r="M233">
        <f t="shared" si="29"/>
        <v>1699</v>
      </c>
      <c r="N233" t="str">
        <f t="shared" si="30"/>
        <v>Match</v>
      </c>
      <c r="O233" t="s">
        <v>1140</v>
      </c>
      <c r="P233">
        <v>0</v>
      </c>
      <c r="Q233" t="str">
        <f t="shared" si="31"/>
        <v>Invalid</v>
      </c>
      <c r="R233" t="s">
        <v>28</v>
      </c>
      <c r="S233" t="s">
        <v>42</v>
      </c>
      <c r="T233" t="s">
        <v>71</v>
      </c>
      <c r="U233" t="s">
        <v>72</v>
      </c>
      <c r="V233" t="s">
        <v>53</v>
      </c>
      <c r="W233" s="4">
        <v>45624</v>
      </c>
      <c r="X233" s="4" t="str">
        <f t="shared" si="32"/>
        <v>Invalid</v>
      </c>
      <c r="Y233" t="s">
        <v>32</v>
      </c>
      <c r="Z233" t="str">
        <f t="shared" si="33"/>
        <v>Valid</v>
      </c>
      <c r="AA233" t="s">
        <v>33</v>
      </c>
      <c r="AB233" t="s">
        <v>1141</v>
      </c>
      <c r="AC233" t="str">
        <f t="shared" si="34"/>
        <v>Not Applicable</v>
      </c>
      <c r="AE233" s="4" t="str">
        <f t="shared" si="35"/>
        <v>Not Applicable</v>
      </c>
      <c r="AF233" t="s">
        <v>34</v>
      </c>
    </row>
    <row r="234" spans="1:32" x14ac:dyDescent="0.3">
      <c r="A234" t="s">
        <v>736</v>
      </c>
      <c r="B234" s="4">
        <v>45623</v>
      </c>
      <c r="C234" t="s">
        <v>737</v>
      </c>
      <c r="D234" t="s">
        <v>25</v>
      </c>
      <c r="E234" t="s">
        <v>1195</v>
      </c>
      <c r="F234" t="s">
        <v>66</v>
      </c>
      <c r="G234" t="s">
        <v>738</v>
      </c>
      <c r="H234">
        <v>899</v>
      </c>
      <c r="I234" t="str">
        <f t="shared" si="27"/>
        <v>Normal</v>
      </c>
      <c r="J234">
        <v>2</v>
      </c>
      <c r="K234" t="str">
        <f t="shared" si="28"/>
        <v>Normal</v>
      </c>
      <c r="L234">
        <v>1798</v>
      </c>
      <c r="M234">
        <f t="shared" si="29"/>
        <v>1798</v>
      </c>
      <c r="N234" t="str">
        <f t="shared" si="30"/>
        <v>Match</v>
      </c>
      <c r="O234" t="s">
        <v>1140</v>
      </c>
      <c r="P234">
        <v>0</v>
      </c>
      <c r="Q234" t="str">
        <f t="shared" si="31"/>
        <v>Invalid</v>
      </c>
      <c r="R234" t="s">
        <v>52</v>
      </c>
      <c r="S234" t="s">
        <v>42</v>
      </c>
      <c r="T234" t="s">
        <v>131</v>
      </c>
      <c r="U234" t="s">
        <v>132</v>
      </c>
      <c r="V234" t="s">
        <v>30</v>
      </c>
      <c r="W234" s="4">
        <v>45638</v>
      </c>
      <c r="X234" s="4" t="str">
        <f t="shared" si="32"/>
        <v>Invalid</v>
      </c>
      <c r="Y234" t="s">
        <v>32</v>
      </c>
      <c r="Z234" t="str">
        <f t="shared" si="33"/>
        <v>Valid</v>
      </c>
      <c r="AA234" t="s">
        <v>33</v>
      </c>
      <c r="AB234" t="s">
        <v>1141</v>
      </c>
      <c r="AC234" t="str">
        <f t="shared" si="34"/>
        <v>Not Applicable</v>
      </c>
      <c r="AE234" s="4" t="str">
        <f t="shared" si="35"/>
        <v>Not Applicable</v>
      </c>
      <c r="AF234" t="s">
        <v>34</v>
      </c>
    </row>
    <row r="235" spans="1:32" x14ac:dyDescent="0.3">
      <c r="A235" t="s">
        <v>128</v>
      </c>
      <c r="B235" s="4">
        <v>45569</v>
      </c>
      <c r="C235" t="s">
        <v>129</v>
      </c>
      <c r="D235" t="s">
        <v>25</v>
      </c>
      <c r="E235" t="s">
        <v>1308</v>
      </c>
      <c r="F235" t="s">
        <v>38</v>
      </c>
      <c r="G235" t="s">
        <v>130</v>
      </c>
      <c r="H235">
        <v>2899</v>
      </c>
      <c r="I235" t="str">
        <f t="shared" si="27"/>
        <v>Normal</v>
      </c>
      <c r="J235">
        <v>1</v>
      </c>
      <c r="K235" t="str">
        <f t="shared" si="28"/>
        <v>Normal</v>
      </c>
      <c r="L235">
        <v>2899</v>
      </c>
      <c r="M235">
        <f t="shared" si="29"/>
        <v>2899</v>
      </c>
      <c r="N235" t="str">
        <f t="shared" si="30"/>
        <v>Match</v>
      </c>
      <c r="O235" t="s">
        <v>1140</v>
      </c>
      <c r="P235">
        <v>0</v>
      </c>
      <c r="Q235" t="str">
        <f t="shared" si="31"/>
        <v>Invalid</v>
      </c>
      <c r="R235" t="s">
        <v>41</v>
      </c>
      <c r="S235" t="s">
        <v>29</v>
      </c>
      <c r="T235" t="s">
        <v>131</v>
      </c>
      <c r="U235" t="s">
        <v>132</v>
      </c>
      <c r="V235" t="s">
        <v>30</v>
      </c>
      <c r="W235" s="4">
        <v>45579</v>
      </c>
      <c r="X235" s="4" t="str">
        <f t="shared" si="32"/>
        <v>Invalid</v>
      </c>
      <c r="Y235" t="s">
        <v>32</v>
      </c>
      <c r="Z235" t="str">
        <f t="shared" si="33"/>
        <v>Valid</v>
      </c>
      <c r="AA235" t="s">
        <v>33</v>
      </c>
      <c r="AB235" t="s">
        <v>1141</v>
      </c>
      <c r="AC235" t="str">
        <f t="shared" si="34"/>
        <v>Not Applicable</v>
      </c>
      <c r="AE235" s="4" t="str">
        <f t="shared" si="35"/>
        <v>Not Applicable</v>
      </c>
      <c r="AF235" t="s">
        <v>34</v>
      </c>
    </row>
    <row r="236" spans="1:32" x14ac:dyDescent="0.3">
      <c r="A236" t="s">
        <v>229</v>
      </c>
      <c r="B236" s="4">
        <v>45576</v>
      </c>
      <c r="C236" t="s">
        <v>230</v>
      </c>
      <c r="D236" t="s">
        <v>37</v>
      </c>
      <c r="E236" t="s">
        <v>1342</v>
      </c>
      <c r="F236" t="s">
        <v>38</v>
      </c>
      <c r="G236" t="s">
        <v>231</v>
      </c>
      <c r="H236">
        <v>2599</v>
      </c>
      <c r="I236" t="str">
        <f t="shared" si="27"/>
        <v>Normal</v>
      </c>
      <c r="J236">
        <v>1</v>
      </c>
      <c r="K236" t="str">
        <f t="shared" si="28"/>
        <v>Normal</v>
      </c>
      <c r="L236">
        <v>2599</v>
      </c>
      <c r="M236">
        <f t="shared" si="29"/>
        <v>2599</v>
      </c>
      <c r="N236" t="str">
        <f t="shared" si="30"/>
        <v>Match</v>
      </c>
      <c r="O236" t="s">
        <v>1140</v>
      </c>
      <c r="P236">
        <v>0</v>
      </c>
      <c r="Q236" t="str">
        <f t="shared" si="31"/>
        <v>Invalid</v>
      </c>
      <c r="R236" t="s">
        <v>41</v>
      </c>
      <c r="S236" t="s">
        <v>29</v>
      </c>
      <c r="T236" t="s">
        <v>131</v>
      </c>
      <c r="U236" t="s">
        <v>132</v>
      </c>
      <c r="V236" t="s">
        <v>30</v>
      </c>
      <c r="W236" s="4">
        <v>45585</v>
      </c>
      <c r="X236" s="4" t="str">
        <f t="shared" si="32"/>
        <v>Invalid</v>
      </c>
      <c r="Y236" t="s">
        <v>32</v>
      </c>
      <c r="Z236" t="str">
        <f t="shared" si="33"/>
        <v>Valid</v>
      </c>
      <c r="AA236" t="s">
        <v>33</v>
      </c>
      <c r="AB236" t="s">
        <v>1141</v>
      </c>
      <c r="AC236" t="str">
        <f t="shared" si="34"/>
        <v>Not Applicable</v>
      </c>
      <c r="AE236" s="4" t="str">
        <f t="shared" si="35"/>
        <v>Not Applicable</v>
      </c>
      <c r="AF236" t="s">
        <v>34</v>
      </c>
    </row>
    <row r="237" spans="1:32" x14ac:dyDescent="0.3">
      <c r="A237" t="s">
        <v>568</v>
      </c>
      <c r="B237" s="4">
        <v>45604</v>
      </c>
      <c r="C237" t="s">
        <v>569</v>
      </c>
      <c r="D237" t="s">
        <v>25</v>
      </c>
      <c r="E237" t="s">
        <v>1360</v>
      </c>
      <c r="F237" t="s">
        <v>57</v>
      </c>
      <c r="G237" t="s">
        <v>570</v>
      </c>
      <c r="H237">
        <v>5299</v>
      </c>
      <c r="I237" t="str">
        <f t="shared" si="27"/>
        <v>Normal</v>
      </c>
      <c r="J237">
        <v>1</v>
      </c>
      <c r="K237" t="str">
        <f t="shared" si="28"/>
        <v>Normal</v>
      </c>
      <c r="L237">
        <v>5299</v>
      </c>
      <c r="M237">
        <f t="shared" si="29"/>
        <v>4504.1499999999996</v>
      </c>
      <c r="N237" t="str">
        <f t="shared" si="30"/>
        <v>Mismatch</v>
      </c>
      <c r="O237" s="1">
        <v>42309</v>
      </c>
      <c r="P237">
        <v>15</v>
      </c>
      <c r="Q237" t="str">
        <f t="shared" si="31"/>
        <v>Invalid</v>
      </c>
      <c r="R237" t="s">
        <v>60</v>
      </c>
      <c r="S237" t="s">
        <v>61</v>
      </c>
      <c r="T237" t="s">
        <v>131</v>
      </c>
      <c r="U237" t="s">
        <v>132</v>
      </c>
      <c r="V237" t="s">
        <v>30</v>
      </c>
      <c r="W237" s="4">
        <v>45619</v>
      </c>
      <c r="X237" s="4" t="str">
        <f t="shared" si="32"/>
        <v>Invalid</v>
      </c>
      <c r="Y237" t="s">
        <v>32</v>
      </c>
      <c r="Z237" t="str">
        <f t="shared" si="33"/>
        <v>Valid</v>
      </c>
      <c r="AA237" t="s">
        <v>33</v>
      </c>
      <c r="AB237" t="s">
        <v>1141</v>
      </c>
      <c r="AC237" t="str">
        <f t="shared" si="34"/>
        <v>Not Applicable</v>
      </c>
      <c r="AE237" s="4" t="str">
        <f t="shared" si="35"/>
        <v>Not Applicable</v>
      </c>
      <c r="AF237" t="s">
        <v>34</v>
      </c>
    </row>
    <row r="238" spans="1:32" x14ac:dyDescent="0.3">
      <c r="A238" t="s">
        <v>313</v>
      </c>
      <c r="B238" s="4">
        <v>45583</v>
      </c>
      <c r="C238" t="s">
        <v>314</v>
      </c>
      <c r="D238" t="s">
        <v>37</v>
      </c>
      <c r="E238" t="s">
        <v>1193</v>
      </c>
      <c r="F238" t="s">
        <v>66</v>
      </c>
      <c r="G238" t="s">
        <v>315</v>
      </c>
      <c r="H238">
        <v>299</v>
      </c>
      <c r="I238" t="str">
        <f t="shared" si="27"/>
        <v>Normal</v>
      </c>
      <c r="J238">
        <v>5</v>
      </c>
      <c r="K238" t="str">
        <f t="shared" si="28"/>
        <v>Normal</v>
      </c>
      <c r="L238">
        <v>1495</v>
      </c>
      <c r="M238">
        <f t="shared" si="29"/>
        <v>1495</v>
      </c>
      <c r="N238" t="str">
        <f t="shared" si="30"/>
        <v>Match</v>
      </c>
      <c r="O238" t="s">
        <v>1140</v>
      </c>
      <c r="P238">
        <v>0</v>
      </c>
      <c r="Q238" t="str">
        <f t="shared" si="31"/>
        <v>Invalid</v>
      </c>
      <c r="R238" t="s">
        <v>28</v>
      </c>
      <c r="S238" t="s">
        <v>42</v>
      </c>
      <c r="T238" t="s">
        <v>131</v>
      </c>
      <c r="U238" t="s">
        <v>132</v>
      </c>
      <c r="V238" t="s">
        <v>30</v>
      </c>
      <c r="W238" s="4">
        <v>45592</v>
      </c>
      <c r="X238" s="4" t="str">
        <f t="shared" si="32"/>
        <v>Invalid</v>
      </c>
      <c r="Y238" t="s">
        <v>32</v>
      </c>
      <c r="Z238" t="str">
        <f t="shared" si="33"/>
        <v>Valid</v>
      </c>
      <c r="AA238" t="s">
        <v>33</v>
      </c>
      <c r="AB238" t="s">
        <v>1141</v>
      </c>
      <c r="AC238" t="str">
        <f t="shared" si="34"/>
        <v>Not Applicable</v>
      </c>
      <c r="AE238" s="4" t="str">
        <f t="shared" si="35"/>
        <v>Not Applicable</v>
      </c>
      <c r="AF238" t="s">
        <v>34</v>
      </c>
    </row>
    <row r="239" spans="1:32" x14ac:dyDescent="0.3">
      <c r="A239" t="s">
        <v>977</v>
      </c>
      <c r="B239" s="4">
        <v>45643</v>
      </c>
      <c r="C239" t="s">
        <v>978</v>
      </c>
      <c r="D239" t="s">
        <v>25</v>
      </c>
      <c r="E239" t="s">
        <v>1231</v>
      </c>
      <c r="F239" t="s">
        <v>50</v>
      </c>
      <c r="G239" t="s">
        <v>979</v>
      </c>
      <c r="H239">
        <v>2799</v>
      </c>
      <c r="I239" t="str">
        <f t="shared" si="27"/>
        <v>Normal</v>
      </c>
      <c r="J239">
        <v>1</v>
      </c>
      <c r="K239" t="str">
        <f t="shared" si="28"/>
        <v>Normal</v>
      </c>
      <c r="L239">
        <v>2799</v>
      </c>
      <c r="M239">
        <f t="shared" si="29"/>
        <v>2239.2000000000003</v>
      </c>
      <c r="N239" t="str">
        <f t="shared" si="30"/>
        <v>Mismatch</v>
      </c>
      <c r="O239" s="1">
        <v>44166</v>
      </c>
      <c r="P239">
        <v>20</v>
      </c>
      <c r="Q239" t="str">
        <f t="shared" si="31"/>
        <v>Invalid</v>
      </c>
      <c r="R239" t="s">
        <v>28</v>
      </c>
      <c r="S239" t="s">
        <v>29</v>
      </c>
      <c r="T239" t="s">
        <v>131</v>
      </c>
      <c r="U239" t="s">
        <v>132</v>
      </c>
      <c r="V239" t="s">
        <v>30</v>
      </c>
      <c r="W239" s="4">
        <v>45663</v>
      </c>
      <c r="X239" s="4" t="str">
        <f t="shared" si="32"/>
        <v>Invalid</v>
      </c>
      <c r="Y239" t="s">
        <v>32</v>
      </c>
      <c r="Z239" t="str">
        <f t="shared" si="33"/>
        <v>Valid</v>
      </c>
      <c r="AA239" t="s">
        <v>33</v>
      </c>
      <c r="AB239" t="s">
        <v>1141</v>
      </c>
      <c r="AC239" t="str">
        <f t="shared" si="34"/>
        <v>Not Applicable</v>
      </c>
      <c r="AE239" s="4" t="str">
        <f t="shared" si="35"/>
        <v>Not Applicable</v>
      </c>
      <c r="AF239" t="s">
        <v>34</v>
      </c>
    </row>
    <row r="240" spans="1:32" x14ac:dyDescent="0.3">
      <c r="A240" t="s">
        <v>893</v>
      </c>
      <c r="B240" s="4">
        <v>45636</v>
      </c>
      <c r="C240" t="s">
        <v>894</v>
      </c>
      <c r="D240" t="s">
        <v>25</v>
      </c>
      <c r="E240" t="s">
        <v>1186</v>
      </c>
      <c r="F240" t="s">
        <v>66</v>
      </c>
      <c r="G240" t="s">
        <v>895</v>
      </c>
      <c r="H240">
        <v>1199</v>
      </c>
      <c r="I240" t="str">
        <f t="shared" si="27"/>
        <v>Normal</v>
      </c>
      <c r="J240">
        <v>1</v>
      </c>
      <c r="K240" t="str">
        <f t="shared" si="28"/>
        <v>Normal</v>
      </c>
      <c r="L240">
        <v>1199</v>
      </c>
      <c r="M240">
        <f t="shared" si="29"/>
        <v>1199</v>
      </c>
      <c r="N240" t="str">
        <f t="shared" si="30"/>
        <v>Match</v>
      </c>
      <c r="O240" s="1" t="s">
        <v>1140</v>
      </c>
      <c r="P240">
        <v>0</v>
      </c>
      <c r="Q240" t="str">
        <f t="shared" si="31"/>
        <v>Invalid</v>
      </c>
      <c r="R240" t="s">
        <v>100</v>
      </c>
      <c r="S240" t="s">
        <v>61</v>
      </c>
      <c r="T240" t="s">
        <v>131</v>
      </c>
      <c r="U240" t="s">
        <v>132</v>
      </c>
      <c r="V240" t="s">
        <v>30</v>
      </c>
      <c r="W240" s="4">
        <v>45651</v>
      </c>
      <c r="X240" s="4" t="str">
        <f t="shared" si="32"/>
        <v>Invalid</v>
      </c>
      <c r="Y240" t="s">
        <v>32</v>
      </c>
      <c r="Z240" t="str">
        <f t="shared" si="33"/>
        <v>Valid</v>
      </c>
      <c r="AA240" t="s">
        <v>33</v>
      </c>
      <c r="AB240" t="s">
        <v>1141</v>
      </c>
      <c r="AC240" t="str">
        <f t="shared" si="34"/>
        <v>Not Applicable</v>
      </c>
      <c r="AE240" s="4" t="str">
        <f t="shared" si="35"/>
        <v>Not Applicable</v>
      </c>
      <c r="AF240" t="s">
        <v>34</v>
      </c>
    </row>
    <row r="241" spans="1:32" x14ac:dyDescent="0.3">
      <c r="A241" t="s">
        <v>652</v>
      </c>
      <c r="B241" s="4">
        <v>45614</v>
      </c>
      <c r="C241" t="s">
        <v>653</v>
      </c>
      <c r="D241" t="s">
        <v>25</v>
      </c>
      <c r="E241" t="s">
        <v>1331</v>
      </c>
      <c r="F241" t="s">
        <v>38</v>
      </c>
      <c r="G241" t="s">
        <v>654</v>
      </c>
      <c r="H241">
        <v>3799</v>
      </c>
      <c r="I241" t="str">
        <f t="shared" si="27"/>
        <v>Normal</v>
      </c>
      <c r="J241">
        <v>1</v>
      </c>
      <c r="K241" t="str">
        <f t="shared" si="28"/>
        <v>Normal</v>
      </c>
      <c r="L241">
        <v>3799</v>
      </c>
      <c r="M241">
        <f t="shared" si="29"/>
        <v>3799</v>
      </c>
      <c r="N241" t="str">
        <f t="shared" si="30"/>
        <v>Match</v>
      </c>
      <c r="O241" t="s">
        <v>1140</v>
      </c>
      <c r="P241">
        <v>0</v>
      </c>
      <c r="Q241" t="str">
        <f t="shared" si="31"/>
        <v>Invalid</v>
      </c>
      <c r="R241" t="s">
        <v>100</v>
      </c>
      <c r="S241" t="s">
        <v>29</v>
      </c>
      <c r="T241" t="s">
        <v>131</v>
      </c>
      <c r="U241" t="s">
        <v>132</v>
      </c>
      <c r="V241" t="s">
        <v>30</v>
      </c>
      <c r="W241" s="4">
        <v>45629</v>
      </c>
      <c r="X241" s="4" t="str">
        <f t="shared" si="32"/>
        <v>Invalid</v>
      </c>
      <c r="Y241" t="s">
        <v>32</v>
      </c>
      <c r="Z241" t="str">
        <f t="shared" si="33"/>
        <v>Valid</v>
      </c>
      <c r="AA241" t="s">
        <v>33</v>
      </c>
      <c r="AB241" t="s">
        <v>1141</v>
      </c>
      <c r="AC241" t="str">
        <f t="shared" si="34"/>
        <v>Not Applicable</v>
      </c>
      <c r="AE241" s="4" t="str">
        <f t="shared" si="35"/>
        <v>Not Applicable</v>
      </c>
      <c r="AF241" t="s">
        <v>34</v>
      </c>
    </row>
    <row r="242" spans="1:32" x14ac:dyDescent="0.3">
      <c r="A242" t="s">
        <v>289</v>
      </c>
      <c r="B242" s="4">
        <v>45581</v>
      </c>
      <c r="C242" t="s">
        <v>290</v>
      </c>
      <c r="D242" t="s">
        <v>37</v>
      </c>
      <c r="E242" t="s">
        <v>1304</v>
      </c>
      <c r="F242" t="s">
        <v>38</v>
      </c>
      <c r="G242" t="s">
        <v>291</v>
      </c>
      <c r="H242">
        <v>2499</v>
      </c>
      <c r="I242" t="str">
        <f t="shared" si="27"/>
        <v>Normal</v>
      </c>
      <c r="J242">
        <v>1</v>
      </c>
      <c r="K242" t="str">
        <f t="shared" si="28"/>
        <v>Normal</v>
      </c>
      <c r="L242">
        <v>2499</v>
      </c>
      <c r="M242">
        <f t="shared" si="29"/>
        <v>2499</v>
      </c>
      <c r="N242" t="str">
        <f t="shared" si="30"/>
        <v>Match</v>
      </c>
      <c r="O242" t="s">
        <v>1140</v>
      </c>
      <c r="P242">
        <v>0</v>
      </c>
      <c r="Q242" t="str">
        <f t="shared" si="31"/>
        <v>Invalid</v>
      </c>
      <c r="R242" t="s">
        <v>41</v>
      </c>
      <c r="S242" t="s">
        <v>29</v>
      </c>
      <c r="T242" t="s">
        <v>92</v>
      </c>
      <c r="U242" t="s">
        <v>93</v>
      </c>
      <c r="V242" t="s">
        <v>43</v>
      </c>
      <c r="W242" s="4">
        <v>45591</v>
      </c>
      <c r="X242" s="4" t="str">
        <f t="shared" si="32"/>
        <v>Invalid</v>
      </c>
      <c r="Y242" t="s">
        <v>32</v>
      </c>
      <c r="Z242" t="str">
        <f t="shared" si="33"/>
        <v>Valid</v>
      </c>
      <c r="AA242" t="s">
        <v>33</v>
      </c>
      <c r="AB242" t="s">
        <v>1141</v>
      </c>
      <c r="AC242" t="str">
        <f t="shared" si="34"/>
        <v>Not Applicable</v>
      </c>
      <c r="AE242" s="4" t="str">
        <f t="shared" si="35"/>
        <v>Not Applicable</v>
      </c>
      <c r="AF242" t="s">
        <v>34</v>
      </c>
    </row>
    <row r="243" spans="1:32" x14ac:dyDescent="0.3">
      <c r="A243" t="s">
        <v>712</v>
      </c>
      <c r="B243" s="4">
        <v>45620</v>
      </c>
      <c r="C243" t="s">
        <v>713</v>
      </c>
      <c r="D243" t="s">
        <v>25</v>
      </c>
      <c r="E243" t="s">
        <v>1329</v>
      </c>
      <c r="F243" t="s">
        <v>38</v>
      </c>
      <c r="G243" t="s">
        <v>714</v>
      </c>
      <c r="H243">
        <v>4999</v>
      </c>
      <c r="I243" t="str">
        <f t="shared" si="27"/>
        <v>Normal</v>
      </c>
      <c r="J243">
        <v>1</v>
      </c>
      <c r="K243" t="str">
        <f t="shared" si="28"/>
        <v>Normal</v>
      </c>
      <c r="L243">
        <v>4999</v>
      </c>
      <c r="M243">
        <f t="shared" si="29"/>
        <v>4999</v>
      </c>
      <c r="N243" t="str">
        <f t="shared" si="30"/>
        <v>Match</v>
      </c>
      <c r="O243" t="s">
        <v>1140</v>
      </c>
      <c r="P243">
        <v>0</v>
      </c>
      <c r="Q243" t="str">
        <f t="shared" si="31"/>
        <v>Invalid</v>
      </c>
      <c r="R243" t="s">
        <v>41</v>
      </c>
      <c r="S243" t="s">
        <v>61</v>
      </c>
      <c r="T243" t="s">
        <v>92</v>
      </c>
      <c r="U243" t="s">
        <v>93</v>
      </c>
      <c r="V243" t="s">
        <v>43</v>
      </c>
      <c r="W243" s="4">
        <v>45637</v>
      </c>
      <c r="X243" s="4" t="str">
        <f t="shared" si="32"/>
        <v>Invalid</v>
      </c>
      <c r="Y243" t="s">
        <v>32</v>
      </c>
      <c r="Z243" t="str">
        <f t="shared" si="33"/>
        <v>Valid</v>
      </c>
      <c r="AA243" t="s">
        <v>33</v>
      </c>
      <c r="AB243" t="s">
        <v>1141</v>
      </c>
      <c r="AC243" t="str">
        <f t="shared" si="34"/>
        <v>Not Applicable</v>
      </c>
      <c r="AE243" s="4" t="str">
        <f t="shared" si="35"/>
        <v>Not Applicable</v>
      </c>
      <c r="AF243" t="s">
        <v>34</v>
      </c>
    </row>
    <row r="244" spans="1:32" x14ac:dyDescent="0.3">
      <c r="A244" t="s">
        <v>205</v>
      </c>
      <c r="B244" s="4">
        <v>45574</v>
      </c>
      <c r="C244" t="s">
        <v>206</v>
      </c>
      <c r="D244" t="s">
        <v>37</v>
      </c>
      <c r="E244" t="s">
        <v>1380</v>
      </c>
      <c r="F244" t="s">
        <v>57</v>
      </c>
      <c r="G244" t="s">
        <v>207</v>
      </c>
      <c r="H244">
        <v>7999</v>
      </c>
      <c r="I244" t="str">
        <f t="shared" si="27"/>
        <v>Normal</v>
      </c>
      <c r="J244">
        <v>1</v>
      </c>
      <c r="K244" t="str">
        <f t="shared" si="28"/>
        <v>Normal</v>
      </c>
      <c r="L244">
        <v>7999</v>
      </c>
      <c r="M244">
        <f t="shared" si="29"/>
        <v>7999</v>
      </c>
      <c r="N244" t="str">
        <f t="shared" si="30"/>
        <v>Match</v>
      </c>
      <c r="O244" t="s">
        <v>1140</v>
      </c>
      <c r="P244">
        <v>0</v>
      </c>
      <c r="Q244" t="str">
        <f t="shared" si="31"/>
        <v>Invalid</v>
      </c>
      <c r="R244" t="s">
        <v>41</v>
      </c>
      <c r="S244" t="s">
        <v>29</v>
      </c>
      <c r="T244" t="s">
        <v>92</v>
      </c>
      <c r="U244" t="s">
        <v>93</v>
      </c>
      <c r="V244" t="s">
        <v>43</v>
      </c>
      <c r="W244" s="4">
        <v>45583</v>
      </c>
      <c r="X244" s="4" t="str">
        <f t="shared" si="32"/>
        <v>Invalid</v>
      </c>
      <c r="Y244" t="s">
        <v>32</v>
      </c>
      <c r="Z244" t="str">
        <f t="shared" si="33"/>
        <v>Valid</v>
      </c>
      <c r="AA244" t="s">
        <v>33</v>
      </c>
      <c r="AB244" t="s">
        <v>1141</v>
      </c>
      <c r="AC244" t="str">
        <f t="shared" si="34"/>
        <v>Not Applicable</v>
      </c>
      <c r="AE244" s="4" t="str">
        <f t="shared" si="35"/>
        <v>Not Applicable</v>
      </c>
      <c r="AF244" t="s">
        <v>34</v>
      </c>
    </row>
    <row r="245" spans="1:32" x14ac:dyDescent="0.3">
      <c r="A245" t="s">
        <v>544</v>
      </c>
      <c r="B245" s="4">
        <v>45602</v>
      </c>
      <c r="C245" t="s">
        <v>545</v>
      </c>
      <c r="D245" t="s">
        <v>25</v>
      </c>
      <c r="E245" t="s">
        <v>1440</v>
      </c>
      <c r="F245" t="s">
        <v>26</v>
      </c>
      <c r="G245" t="s">
        <v>546</v>
      </c>
      <c r="H245">
        <v>2999</v>
      </c>
      <c r="I245" t="str">
        <f t="shared" si="27"/>
        <v>Normal</v>
      </c>
      <c r="J245">
        <v>1</v>
      </c>
      <c r="K245" t="str">
        <f t="shared" si="28"/>
        <v>Normal</v>
      </c>
      <c r="L245">
        <v>2999</v>
      </c>
      <c r="M245">
        <f t="shared" si="29"/>
        <v>2999</v>
      </c>
      <c r="N245" t="str">
        <f t="shared" si="30"/>
        <v>Match</v>
      </c>
      <c r="O245" t="s">
        <v>1140</v>
      </c>
      <c r="P245">
        <v>0</v>
      </c>
      <c r="Q245" t="str">
        <f t="shared" si="31"/>
        <v>Invalid</v>
      </c>
      <c r="R245" t="s">
        <v>41</v>
      </c>
      <c r="S245" t="s">
        <v>29</v>
      </c>
      <c r="T245" t="s">
        <v>92</v>
      </c>
      <c r="U245" t="s">
        <v>93</v>
      </c>
      <c r="V245" t="s">
        <v>43</v>
      </c>
      <c r="W245" s="4">
        <v>45615</v>
      </c>
      <c r="X245" s="4" t="str">
        <f t="shared" si="32"/>
        <v>Invalid</v>
      </c>
      <c r="Y245" t="s">
        <v>32</v>
      </c>
      <c r="Z245" t="str">
        <f t="shared" si="33"/>
        <v>Valid</v>
      </c>
      <c r="AA245" t="s">
        <v>33</v>
      </c>
      <c r="AB245" t="s">
        <v>1141</v>
      </c>
      <c r="AC245" t="str">
        <f t="shared" si="34"/>
        <v>Not Applicable</v>
      </c>
      <c r="AE245" s="4" t="str">
        <f t="shared" si="35"/>
        <v>Not Applicable</v>
      </c>
      <c r="AF245" t="s">
        <v>34</v>
      </c>
    </row>
    <row r="246" spans="1:32" x14ac:dyDescent="0.3">
      <c r="A246" t="s">
        <v>372</v>
      </c>
      <c r="B246" s="4">
        <v>45588</v>
      </c>
      <c r="C246" t="s">
        <v>373</v>
      </c>
      <c r="D246" t="s">
        <v>37</v>
      </c>
      <c r="E246" t="s">
        <v>1172</v>
      </c>
      <c r="F246" t="s">
        <v>66</v>
      </c>
      <c r="G246" t="s">
        <v>374</v>
      </c>
      <c r="H246">
        <v>399</v>
      </c>
      <c r="I246" t="str">
        <f t="shared" si="27"/>
        <v>Normal</v>
      </c>
      <c r="J246">
        <v>3</v>
      </c>
      <c r="K246" t="str">
        <f t="shared" si="28"/>
        <v>Normal</v>
      </c>
      <c r="L246">
        <v>1197</v>
      </c>
      <c r="M246">
        <f t="shared" si="29"/>
        <v>1197</v>
      </c>
      <c r="N246" t="str">
        <f t="shared" si="30"/>
        <v>Match</v>
      </c>
      <c r="O246" t="s">
        <v>1140</v>
      </c>
      <c r="P246">
        <v>0</v>
      </c>
      <c r="Q246" t="str">
        <f t="shared" si="31"/>
        <v>Invalid</v>
      </c>
      <c r="R246" t="s">
        <v>28</v>
      </c>
      <c r="S246" t="s">
        <v>61</v>
      </c>
      <c r="T246" t="s">
        <v>92</v>
      </c>
      <c r="U246" t="s">
        <v>93</v>
      </c>
      <c r="V246" t="s">
        <v>43</v>
      </c>
      <c r="W246" s="4">
        <v>45598</v>
      </c>
      <c r="X246" s="4" t="str">
        <f t="shared" si="32"/>
        <v>Invalid</v>
      </c>
      <c r="Y246" t="s">
        <v>32</v>
      </c>
      <c r="Z246" t="str">
        <f t="shared" si="33"/>
        <v>Valid</v>
      </c>
      <c r="AA246" t="s">
        <v>33</v>
      </c>
      <c r="AB246" t="s">
        <v>1141</v>
      </c>
      <c r="AC246" t="str">
        <f t="shared" si="34"/>
        <v>Not Applicable</v>
      </c>
      <c r="AE246" s="4" t="str">
        <f t="shared" si="35"/>
        <v>Not Applicable</v>
      </c>
      <c r="AF246" t="s">
        <v>34</v>
      </c>
    </row>
    <row r="247" spans="1:32" x14ac:dyDescent="0.3">
      <c r="A247" t="s">
        <v>1037</v>
      </c>
      <c r="B247" s="4">
        <v>45648</v>
      </c>
      <c r="C247" t="s">
        <v>1038</v>
      </c>
      <c r="D247" t="s">
        <v>25</v>
      </c>
      <c r="E247" t="s">
        <v>1235</v>
      </c>
      <c r="F247" t="s">
        <v>50</v>
      </c>
      <c r="G247" t="s">
        <v>1039</v>
      </c>
      <c r="H247">
        <v>2299</v>
      </c>
      <c r="I247" t="str">
        <f t="shared" si="27"/>
        <v>Normal</v>
      </c>
      <c r="J247">
        <v>1</v>
      </c>
      <c r="K247" t="str">
        <f t="shared" si="28"/>
        <v>Normal</v>
      </c>
      <c r="L247">
        <v>2299</v>
      </c>
      <c r="M247">
        <f t="shared" si="29"/>
        <v>2299</v>
      </c>
      <c r="N247" t="str">
        <f t="shared" si="30"/>
        <v>Match</v>
      </c>
      <c r="O247" s="1" t="s">
        <v>1140</v>
      </c>
      <c r="P247">
        <v>0</v>
      </c>
      <c r="Q247" t="str">
        <f t="shared" si="31"/>
        <v>Invalid</v>
      </c>
      <c r="R247" t="s">
        <v>28</v>
      </c>
      <c r="S247" t="s">
        <v>61</v>
      </c>
      <c r="T247" t="s">
        <v>92</v>
      </c>
      <c r="U247" t="s">
        <v>93</v>
      </c>
      <c r="V247" t="s">
        <v>43</v>
      </c>
      <c r="W247" s="4">
        <v>45671</v>
      </c>
      <c r="X247" s="4" t="str">
        <f t="shared" si="32"/>
        <v>Invalid</v>
      </c>
      <c r="Y247" t="s">
        <v>32</v>
      </c>
      <c r="Z247" t="str">
        <f t="shared" si="33"/>
        <v>Valid</v>
      </c>
      <c r="AA247" t="s">
        <v>33</v>
      </c>
      <c r="AB247" t="s">
        <v>1141</v>
      </c>
      <c r="AC247" t="str">
        <f t="shared" si="34"/>
        <v>Not Applicable</v>
      </c>
      <c r="AE247" s="4" t="str">
        <f t="shared" si="35"/>
        <v>Not Applicable</v>
      </c>
      <c r="AF247" t="s">
        <v>34</v>
      </c>
    </row>
    <row r="248" spans="1:32" x14ac:dyDescent="0.3">
      <c r="A248" t="s">
        <v>953</v>
      </c>
      <c r="B248" s="4">
        <v>45641</v>
      </c>
      <c r="C248" t="s">
        <v>954</v>
      </c>
      <c r="D248" t="s">
        <v>25</v>
      </c>
      <c r="E248" t="s">
        <v>1157</v>
      </c>
      <c r="F248" t="s">
        <v>66</v>
      </c>
      <c r="G248" t="s">
        <v>955</v>
      </c>
      <c r="H248">
        <v>799</v>
      </c>
      <c r="I248" t="str">
        <f t="shared" si="27"/>
        <v>Normal</v>
      </c>
      <c r="J248">
        <v>2</v>
      </c>
      <c r="K248" t="str">
        <f t="shared" si="28"/>
        <v>Normal</v>
      </c>
      <c r="L248">
        <v>1598</v>
      </c>
      <c r="M248">
        <f t="shared" si="29"/>
        <v>1598</v>
      </c>
      <c r="N248" t="str">
        <f t="shared" si="30"/>
        <v>Match</v>
      </c>
      <c r="O248" s="1" t="s">
        <v>1140</v>
      </c>
      <c r="P248">
        <v>0</v>
      </c>
      <c r="Q248" t="str">
        <f t="shared" si="31"/>
        <v>Invalid</v>
      </c>
      <c r="R248" t="s">
        <v>100</v>
      </c>
      <c r="S248" t="s">
        <v>42</v>
      </c>
      <c r="T248" t="s">
        <v>92</v>
      </c>
      <c r="U248" t="s">
        <v>93</v>
      </c>
      <c r="V248" t="s">
        <v>43</v>
      </c>
      <c r="W248" s="4">
        <v>45659</v>
      </c>
      <c r="X248" s="4" t="str">
        <f t="shared" si="32"/>
        <v>Invalid</v>
      </c>
      <c r="Y248" t="s">
        <v>32</v>
      </c>
      <c r="Z248" t="str">
        <f t="shared" si="33"/>
        <v>Valid</v>
      </c>
      <c r="AA248" t="s">
        <v>33</v>
      </c>
      <c r="AB248" t="s">
        <v>1141</v>
      </c>
      <c r="AC248" t="str">
        <f t="shared" si="34"/>
        <v>Not Applicable</v>
      </c>
      <c r="AE248" s="4" t="str">
        <f t="shared" si="35"/>
        <v>Not Applicable</v>
      </c>
      <c r="AF248" t="s">
        <v>34</v>
      </c>
    </row>
    <row r="249" spans="1:32" x14ac:dyDescent="0.3">
      <c r="A249" t="s">
        <v>520</v>
      </c>
      <c r="B249" s="4">
        <v>45599</v>
      </c>
      <c r="C249" t="s">
        <v>521</v>
      </c>
      <c r="D249" t="s">
        <v>37</v>
      </c>
      <c r="E249" t="s">
        <v>1234</v>
      </c>
      <c r="F249" t="s">
        <v>50</v>
      </c>
      <c r="G249" t="s">
        <v>522</v>
      </c>
      <c r="H249">
        <v>2599</v>
      </c>
      <c r="I249" t="str">
        <f t="shared" si="27"/>
        <v>Normal</v>
      </c>
      <c r="J249">
        <v>1</v>
      </c>
      <c r="K249" t="str">
        <f t="shared" si="28"/>
        <v>Normal</v>
      </c>
      <c r="L249">
        <v>2599</v>
      </c>
      <c r="M249">
        <f t="shared" si="29"/>
        <v>1559.3999999999999</v>
      </c>
      <c r="N249" t="str">
        <f t="shared" si="30"/>
        <v>Mismatch</v>
      </c>
      <c r="O249" t="s">
        <v>425</v>
      </c>
      <c r="P249">
        <v>40</v>
      </c>
      <c r="Q249" t="str">
        <f t="shared" si="31"/>
        <v>Invalid</v>
      </c>
      <c r="R249" t="s">
        <v>52</v>
      </c>
      <c r="S249" t="s">
        <v>42</v>
      </c>
      <c r="T249" t="s">
        <v>183</v>
      </c>
      <c r="U249" t="s">
        <v>102</v>
      </c>
      <c r="V249" t="s">
        <v>43</v>
      </c>
      <c r="W249" s="4">
        <v>45611</v>
      </c>
      <c r="X249" s="4" t="str">
        <f t="shared" si="32"/>
        <v>Invalid</v>
      </c>
      <c r="Y249" t="s">
        <v>32</v>
      </c>
      <c r="Z249" t="str">
        <f t="shared" si="33"/>
        <v>Valid</v>
      </c>
      <c r="AA249" t="s">
        <v>33</v>
      </c>
      <c r="AB249" t="s">
        <v>1141</v>
      </c>
      <c r="AC249" t="str">
        <f t="shared" si="34"/>
        <v>Not Applicable</v>
      </c>
      <c r="AE249" s="4" t="str">
        <f t="shared" si="35"/>
        <v>Not Applicable</v>
      </c>
      <c r="AF249" t="s">
        <v>34</v>
      </c>
    </row>
    <row r="250" spans="1:32" x14ac:dyDescent="0.3">
      <c r="A250" t="s">
        <v>180</v>
      </c>
      <c r="B250" s="4">
        <v>45572</v>
      </c>
      <c r="C250" t="s">
        <v>181</v>
      </c>
      <c r="D250" t="s">
        <v>25</v>
      </c>
      <c r="E250" t="s">
        <v>1214</v>
      </c>
      <c r="F250" t="s">
        <v>50</v>
      </c>
      <c r="G250" t="s">
        <v>182</v>
      </c>
      <c r="H250">
        <v>2199</v>
      </c>
      <c r="I250" t="str">
        <f t="shared" si="27"/>
        <v>Normal</v>
      </c>
      <c r="J250">
        <v>1</v>
      </c>
      <c r="K250" t="str">
        <f t="shared" si="28"/>
        <v>Normal</v>
      </c>
      <c r="L250">
        <v>2199</v>
      </c>
      <c r="M250">
        <f t="shared" si="29"/>
        <v>1759.2</v>
      </c>
      <c r="N250" t="str">
        <f t="shared" si="30"/>
        <v>Mismatch</v>
      </c>
      <c r="O250" t="s">
        <v>40</v>
      </c>
      <c r="P250">
        <v>20</v>
      </c>
      <c r="Q250" t="str">
        <f t="shared" si="31"/>
        <v>Invalid</v>
      </c>
      <c r="R250" t="s">
        <v>41</v>
      </c>
      <c r="S250" t="s">
        <v>29</v>
      </c>
      <c r="T250" t="s">
        <v>183</v>
      </c>
      <c r="U250" t="s">
        <v>102</v>
      </c>
      <c r="V250" t="s">
        <v>43</v>
      </c>
      <c r="W250" s="4">
        <v>45585</v>
      </c>
      <c r="X250" s="4" t="str">
        <f t="shared" si="32"/>
        <v>Invalid</v>
      </c>
      <c r="Y250" t="s">
        <v>32</v>
      </c>
      <c r="Z250" t="str">
        <f t="shared" si="33"/>
        <v>Valid</v>
      </c>
      <c r="AA250" t="s">
        <v>33</v>
      </c>
      <c r="AB250" t="s">
        <v>1141</v>
      </c>
      <c r="AC250" t="str">
        <f t="shared" si="34"/>
        <v>Not Applicable</v>
      </c>
      <c r="AE250" s="4" t="str">
        <f t="shared" si="35"/>
        <v>Not Applicable</v>
      </c>
      <c r="AF250" t="s">
        <v>34</v>
      </c>
    </row>
    <row r="251" spans="1:32" x14ac:dyDescent="0.3">
      <c r="A251" t="s">
        <v>1013</v>
      </c>
      <c r="B251" s="4">
        <v>45646</v>
      </c>
      <c r="C251" t="s">
        <v>1014</v>
      </c>
      <c r="D251" t="s">
        <v>37</v>
      </c>
      <c r="E251" t="s">
        <v>1155</v>
      </c>
      <c r="F251" t="s">
        <v>66</v>
      </c>
      <c r="G251" t="s">
        <v>1015</v>
      </c>
      <c r="H251">
        <v>499</v>
      </c>
      <c r="I251" t="str">
        <f t="shared" si="27"/>
        <v>Normal</v>
      </c>
      <c r="J251">
        <v>2</v>
      </c>
      <c r="K251" t="str">
        <f t="shared" si="28"/>
        <v>Normal</v>
      </c>
      <c r="L251">
        <v>998</v>
      </c>
      <c r="M251">
        <f t="shared" si="29"/>
        <v>798.40000000000009</v>
      </c>
      <c r="N251" t="str">
        <f t="shared" si="30"/>
        <v>Mismatch</v>
      </c>
      <c r="O251" s="1">
        <v>44166</v>
      </c>
      <c r="P251">
        <v>20</v>
      </c>
      <c r="Q251" t="str">
        <f t="shared" si="31"/>
        <v>Invalid</v>
      </c>
      <c r="R251" t="s">
        <v>100</v>
      </c>
      <c r="S251" t="s">
        <v>29</v>
      </c>
      <c r="T251" t="s">
        <v>183</v>
      </c>
      <c r="U251" t="s">
        <v>102</v>
      </c>
      <c r="V251" t="s">
        <v>43</v>
      </c>
      <c r="W251" s="4">
        <v>45667</v>
      </c>
      <c r="X251" s="4" t="str">
        <f t="shared" si="32"/>
        <v>Invalid</v>
      </c>
      <c r="Y251" t="s">
        <v>32</v>
      </c>
      <c r="Z251" t="str">
        <f t="shared" si="33"/>
        <v>Valid</v>
      </c>
      <c r="AA251" t="s">
        <v>33</v>
      </c>
      <c r="AB251" t="s">
        <v>1141</v>
      </c>
      <c r="AC251" t="str">
        <f t="shared" si="34"/>
        <v>Not Applicable</v>
      </c>
      <c r="AE251" s="4" t="str">
        <f t="shared" si="35"/>
        <v>Not Applicable</v>
      </c>
      <c r="AF251" t="s">
        <v>34</v>
      </c>
    </row>
    <row r="252" spans="1:32" x14ac:dyDescent="0.3">
      <c r="A252" t="s">
        <v>754</v>
      </c>
      <c r="B252" s="4">
        <v>45625</v>
      </c>
      <c r="C252" t="s">
        <v>755</v>
      </c>
      <c r="D252" t="s">
        <v>25</v>
      </c>
      <c r="E252" t="s">
        <v>1473</v>
      </c>
      <c r="F252" t="s">
        <v>26</v>
      </c>
      <c r="G252" t="s">
        <v>756</v>
      </c>
      <c r="H252">
        <v>1999</v>
      </c>
      <c r="I252" t="str">
        <f t="shared" si="27"/>
        <v>Normal</v>
      </c>
      <c r="J252">
        <v>1</v>
      </c>
      <c r="K252" t="str">
        <f t="shared" si="28"/>
        <v>Normal</v>
      </c>
      <c r="L252">
        <v>1999</v>
      </c>
      <c r="M252">
        <f t="shared" si="29"/>
        <v>1999</v>
      </c>
      <c r="N252" t="str">
        <f t="shared" si="30"/>
        <v>Match</v>
      </c>
      <c r="O252" t="s">
        <v>1140</v>
      </c>
      <c r="P252">
        <v>0</v>
      </c>
      <c r="Q252" t="str">
        <f t="shared" si="31"/>
        <v>Invalid</v>
      </c>
      <c r="R252" t="s">
        <v>52</v>
      </c>
      <c r="S252" t="s">
        <v>42</v>
      </c>
      <c r="T252" t="s">
        <v>157</v>
      </c>
      <c r="U252" t="s">
        <v>158</v>
      </c>
      <c r="V252" t="s">
        <v>53</v>
      </c>
      <c r="X252" s="4" t="str">
        <f t="shared" si="32"/>
        <v>Not applicable</v>
      </c>
      <c r="Y252" t="s">
        <v>32</v>
      </c>
      <c r="Z252" t="str">
        <f t="shared" si="33"/>
        <v>Valid</v>
      </c>
      <c r="AA252" t="s">
        <v>33</v>
      </c>
      <c r="AB252" t="s">
        <v>1141</v>
      </c>
      <c r="AC252" t="str">
        <f t="shared" si="34"/>
        <v>Not Applicable</v>
      </c>
      <c r="AE252" s="4" t="str">
        <f t="shared" si="35"/>
        <v>Not Applicable</v>
      </c>
      <c r="AF252" t="s">
        <v>34</v>
      </c>
    </row>
    <row r="253" spans="1:32" x14ac:dyDescent="0.3">
      <c r="A253" t="s">
        <v>331</v>
      </c>
      <c r="B253" s="4">
        <v>45585</v>
      </c>
      <c r="C253" t="s">
        <v>332</v>
      </c>
      <c r="D253" t="s">
        <v>25</v>
      </c>
      <c r="E253" t="s">
        <v>1215</v>
      </c>
      <c r="F253" t="s">
        <v>50</v>
      </c>
      <c r="G253" t="s">
        <v>333</v>
      </c>
      <c r="H253">
        <v>1499</v>
      </c>
      <c r="I253" t="str">
        <f t="shared" si="27"/>
        <v>Normal</v>
      </c>
      <c r="J253">
        <v>1</v>
      </c>
      <c r="K253" t="str">
        <f t="shared" si="28"/>
        <v>Normal</v>
      </c>
      <c r="L253">
        <v>1499</v>
      </c>
      <c r="M253">
        <f t="shared" si="29"/>
        <v>1199.2</v>
      </c>
      <c r="N253" t="str">
        <f t="shared" si="30"/>
        <v>Mismatch</v>
      </c>
      <c r="O253" t="s">
        <v>40</v>
      </c>
      <c r="P253">
        <v>20</v>
      </c>
      <c r="Q253" t="str">
        <f t="shared" si="31"/>
        <v>Invalid</v>
      </c>
      <c r="R253" t="s">
        <v>41</v>
      </c>
      <c r="S253" t="s">
        <v>42</v>
      </c>
      <c r="T253" t="s">
        <v>157</v>
      </c>
      <c r="U253" t="s">
        <v>158</v>
      </c>
      <c r="V253" t="s">
        <v>53</v>
      </c>
      <c r="W253" s="4">
        <v>45596</v>
      </c>
      <c r="X253" s="4" t="str">
        <f t="shared" si="32"/>
        <v>Invalid</v>
      </c>
      <c r="Y253" t="s">
        <v>32</v>
      </c>
      <c r="Z253" t="str">
        <f t="shared" si="33"/>
        <v>Valid</v>
      </c>
      <c r="AA253" t="s">
        <v>33</v>
      </c>
      <c r="AB253" t="s">
        <v>1141</v>
      </c>
      <c r="AC253" t="str">
        <f t="shared" si="34"/>
        <v>Not Applicable</v>
      </c>
      <c r="AE253" s="4" t="str">
        <f t="shared" si="35"/>
        <v>Not Applicable</v>
      </c>
      <c r="AF253" t="s">
        <v>34</v>
      </c>
    </row>
    <row r="254" spans="1:32" x14ac:dyDescent="0.3">
      <c r="A254" t="s">
        <v>413</v>
      </c>
      <c r="B254" s="4">
        <v>45592</v>
      </c>
      <c r="C254" t="s">
        <v>414</v>
      </c>
      <c r="D254" t="s">
        <v>25</v>
      </c>
      <c r="E254" t="s">
        <v>1343</v>
      </c>
      <c r="F254" t="s">
        <v>57</v>
      </c>
      <c r="G254" t="s">
        <v>415</v>
      </c>
      <c r="H254">
        <v>3999</v>
      </c>
      <c r="I254" t="str">
        <f t="shared" si="27"/>
        <v>Normal</v>
      </c>
      <c r="J254">
        <v>1</v>
      </c>
      <c r="K254" t="str">
        <f t="shared" si="28"/>
        <v>Normal</v>
      </c>
      <c r="L254">
        <v>3999</v>
      </c>
      <c r="M254">
        <f t="shared" si="29"/>
        <v>3999</v>
      </c>
      <c r="N254" t="str">
        <f t="shared" si="30"/>
        <v>Match</v>
      </c>
      <c r="O254" t="s">
        <v>1140</v>
      </c>
      <c r="P254">
        <v>0</v>
      </c>
      <c r="Q254" t="str">
        <f t="shared" si="31"/>
        <v>Invalid</v>
      </c>
      <c r="R254" t="s">
        <v>41</v>
      </c>
      <c r="S254" t="s">
        <v>29</v>
      </c>
      <c r="T254" t="s">
        <v>157</v>
      </c>
      <c r="U254" t="s">
        <v>158</v>
      </c>
      <c r="V254" t="s">
        <v>53</v>
      </c>
      <c r="W254" s="4">
        <v>45605</v>
      </c>
      <c r="X254" s="4" t="str">
        <f t="shared" si="32"/>
        <v>Invalid</v>
      </c>
      <c r="Y254" t="s">
        <v>32</v>
      </c>
      <c r="Z254" t="str">
        <f t="shared" si="33"/>
        <v>Valid</v>
      </c>
      <c r="AA254" t="s">
        <v>33</v>
      </c>
      <c r="AB254" t="s">
        <v>1141</v>
      </c>
      <c r="AC254" t="str">
        <f t="shared" si="34"/>
        <v>Not Applicable</v>
      </c>
      <c r="AE254" s="4" t="str">
        <f t="shared" si="35"/>
        <v>Not Applicable</v>
      </c>
      <c r="AF254" t="s">
        <v>34</v>
      </c>
    </row>
    <row r="255" spans="1:32" x14ac:dyDescent="0.3">
      <c r="A255" t="s">
        <v>247</v>
      </c>
      <c r="B255" s="4">
        <v>45578</v>
      </c>
      <c r="C255" t="s">
        <v>248</v>
      </c>
      <c r="D255" t="s">
        <v>25</v>
      </c>
      <c r="E255" t="s">
        <v>1441</v>
      </c>
      <c r="F255" t="s">
        <v>26</v>
      </c>
      <c r="G255" t="s">
        <v>249</v>
      </c>
      <c r="H255">
        <v>1699</v>
      </c>
      <c r="I255" t="str">
        <f t="shared" si="27"/>
        <v>Normal</v>
      </c>
      <c r="J255">
        <v>1</v>
      </c>
      <c r="K255" t="str">
        <f t="shared" si="28"/>
        <v>Normal</v>
      </c>
      <c r="L255">
        <v>1699</v>
      </c>
      <c r="M255">
        <f t="shared" si="29"/>
        <v>1529.1000000000001</v>
      </c>
      <c r="N255" t="str">
        <f t="shared" si="30"/>
        <v>Mismatch</v>
      </c>
      <c r="O255" t="s">
        <v>99</v>
      </c>
      <c r="P255">
        <v>10</v>
      </c>
      <c r="Q255" t="str">
        <f t="shared" si="31"/>
        <v>Invalid</v>
      </c>
      <c r="R255" t="s">
        <v>41</v>
      </c>
      <c r="S255" t="s">
        <v>29</v>
      </c>
      <c r="T255" t="s">
        <v>157</v>
      </c>
      <c r="U255" t="s">
        <v>158</v>
      </c>
      <c r="V255" t="s">
        <v>53</v>
      </c>
      <c r="W255" s="4">
        <v>45586</v>
      </c>
      <c r="X255" s="4" t="str">
        <f t="shared" si="32"/>
        <v>Invalid</v>
      </c>
      <c r="Y255" t="s">
        <v>32</v>
      </c>
      <c r="Z255" t="str">
        <f t="shared" si="33"/>
        <v>Valid</v>
      </c>
      <c r="AA255" t="s">
        <v>33</v>
      </c>
      <c r="AB255" t="s">
        <v>1141</v>
      </c>
      <c r="AC255" t="str">
        <f t="shared" si="34"/>
        <v>Not Applicable</v>
      </c>
      <c r="AE255" s="4" t="str">
        <f t="shared" si="35"/>
        <v>Not Applicable</v>
      </c>
      <c r="AF255" t="s">
        <v>34</v>
      </c>
    </row>
    <row r="256" spans="1:32" x14ac:dyDescent="0.3">
      <c r="A256" t="s">
        <v>586</v>
      </c>
      <c r="B256" s="4">
        <v>45606</v>
      </c>
      <c r="C256" t="s">
        <v>587</v>
      </c>
      <c r="D256" t="s">
        <v>25</v>
      </c>
      <c r="E256" t="s">
        <v>1201</v>
      </c>
      <c r="F256" t="s">
        <v>66</v>
      </c>
      <c r="G256" t="s">
        <v>588</v>
      </c>
      <c r="H256">
        <v>699</v>
      </c>
      <c r="I256" t="str">
        <f t="shared" si="27"/>
        <v>Normal</v>
      </c>
      <c r="J256">
        <v>2</v>
      </c>
      <c r="K256" t="str">
        <f t="shared" si="28"/>
        <v>Normal</v>
      </c>
      <c r="L256">
        <v>1398</v>
      </c>
      <c r="M256">
        <f t="shared" si="29"/>
        <v>1398</v>
      </c>
      <c r="N256" t="str">
        <f t="shared" si="30"/>
        <v>Match</v>
      </c>
      <c r="O256" t="s">
        <v>1140</v>
      </c>
      <c r="P256">
        <v>0</v>
      </c>
      <c r="Q256" t="str">
        <f t="shared" si="31"/>
        <v>Invalid</v>
      </c>
      <c r="R256" t="s">
        <v>60</v>
      </c>
      <c r="S256" t="s">
        <v>61</v>
      </c>
      <c r="T256" t="s">
        <v>157</v>
      </c>
      <c r="U256" t="s">
        <v>158</v>
      </c>
      <c r="V256" t="s">
        <v>53</v>
      </c>
      <c r="W256" s="4">
        <v>45619</v>
      </c>
      <c r="X256" s="4" t="str">
        <f t="shared" si="32"/>
        <v>Invalid</v>
      </c>
      <c r="Y256" t="s">
        <v>32</v>
      </c>
      <c r="Z256" t="str">
        <f t="shared" si="33"/>
        <v>Valid</v>
      </c>
      <c r="AA256" t="s">
        <v>33</v>
      </c>
      <c r="AB256" t="s">
        <v>1141</v>
      </c>
      <c r="AC256" t="str">
        <f t="shared" si="34"/>
        <v>Not Applicable</v>
      </c>
      <c r="AE256" s="4" t="str">
        <f t="shared" si="35"/>
        <v>Not Applicable</v>
      </c>
      <c r="AF256" t="s">
        <v>34</v>
      </c>
    </row>
    <row r="257" spans="1:32" x14ac:dyDescent="0.3">
      <c r="A257" t="s">
        <v>670</v>
      </c>
      <c r="B257" s="4">
        <v>45616</v>
      </c>
      <c r="C257" t="s">
        <v>671</v>
      </c>
      <c r="D257" t="s">
        <v>37</v>
      </c>
      <c r="E257" t="s">
        <v>1265</v>
      </c>
      <c r="F257" t="s">
        <v>50</v>
      </c>
      <c r="G257" t="s">
        <v>672</v>
      </c>
      <c r="H257">
        <v>2199</v>
      </c>
      <c r="I257" t="str">
        <f t="shared" si="27"/>
        <v>Normal</v>
      </c>
      <c r="J257">
        <v>1</v>
      </c>
      <c r="K257" t="str">
        <f t="shared" si="28"/>
        <v>Normal</v>
      </c>
      <c r="L257">
        <v>2199</v>
      </c>
      <c r="M257">
        <f t="shared" si="29"/>
        <v>1869.1499999999999</v>
      </c>
      <c r="N257" t="str">
        <f t="shared" si="30"/>
        <v>Mismatch</v>
      </c>
      <c r="O257" s="1">
        <v>42309</v>
      </c>
      <c r="P257">
        <v>15</v>
      </c>
      <c r="Q257" t="str">
        <f t="shared" si="31"/>
        <v>Invalid</v>
      </c>
      <c r="R257" t="s">
        <v>100</v>
      </c>
      <c r="S257" t="s">
        <v>29</v>
      </c>
      <c r="T257" t="s">
        <v>157</v>
      </c>
      <c r="U257" t="s">
        <v>158</v>
      </c>
      <c r="V257" t="s">
        <v>53</v>
      </c>
      <c r="W257" s="4">
        <v>45629</v>
      </c>
      <c r="X257" s="4" t="str">
        <f t="shared" si="32"/>
        <v>Invalid</v>
      </c>
      <c r="Y257" t="s">
        <v>32</v>
      </c>
      <c r="Z257" t="str">
        <f t="shared" si="33"/>
        <v>Valid</v>
      </c>
      <c r="AA257" t="s">
        <v>33</v>
      </c>
      <c r="AB257" t="s">
        <v>1141</v>
      </c>
      <c r="AC257" t="str">
        <f t="shared" si="34"/>
        <v>Not Applicable</v>
      </c>
      <c r="AE257" s="4" t="str">
        <f t="shared" si="35"/>
        <v>Not Applicable</v>
      </c>
      <c r="AF257" t="s">
        <v>34</v>
      </c>
    </row>
    <row r="258" spans="1:32" x14ac:dyDescent="0.3">
      <c r="A258" t="s">
        <v>613</v>
      </c>
      <c r="B258" s="4">
        <v>45609</v>
      </c>
      <c r="C258" t="s">
        <v>614</v>
      </c>
      <c r="D258" t="s">
        <v>25</v>
      </c>
      <c r="E258" t="s">
        <v>1350</v>
      </c>
      <c r="F258" t="s">
        <v>57</v>
      </c>
      <c r="G258" t="s">
        <v>615</v>
      </c>
      <c r="H258">
        <v>6299</v>
      </c>
      <c r="I258" t="str">
        <f t="shared" ref="I258:I321" si="36">IF(OR(H258&lt;=0,H258&gt;50000),"Outlier","Normal")</f>
        <v>Normal</v>
      </c>
      <c r="J258">
        <v>1</v>
      </c>
      <c r="K258" t="str">
        <f t="shared" ref="K258:K321" si="37">IF(J258&gt;10,"Outlier","Normal")</f>
        <v>Normal</v>
      </c>
      <c r="L258">
        <v>6299</v>
      </c>
      <c r="M258">
        <f t="shared" ref="M258:M321" si="38">H258*J258*(1-(P258/100))</f>
        <v>6299</v>
      </c>
      <c r="N258" t="str">
        <f t="shared" ref="N258:N321" si="39">IF(ABS(L258-M258)&lt;1,"Match","Mismatch")</f>
        <v>Match</v>
      </c>
      <c r="O258" t="s">
        <v>1140</v>
      </c>
      <c r="P258">
        <v>0</v>
      </c>
      <c r="Q258" t="str">
        <f t="shared" ref="Q258:Q321" si="40">IF(OR(P258&lt;0,C258&gt;100),"Invalid","valid")</f>
        <v>Invalid</v>
      </c>
      <c r="R258" t="s">
        <v>52</v>
      </c>
      <c r="S258" t="s">
        <v>61</v>
      </c>
      <c r="T258" t="s">
        <v>82</v>
      </c>
      <c r="U258" t="s">
        <v>83</v>
      </c>
      <c r="V258" t="s">
        <v>43</v>
      </c>
      <c r="X258" s="4" t="str">
        <f t="shared" ref="X258:X321" si="41">IF(AND(B258&lt;&gt;"",W258&lt;&gt;""),IF(B258&lt;D258,"Invalid","Valid"),"Not applicable")</f>
        <v>Not applicable</v>
      </c>
      <c r="Y258" t="s">
        <v>32</v>
      </c>
      <c r="Z258" t="str">
        <f t="shared" ref="Z258:Z321" si="42">IF(AND(Y258="Cancelled",W258&lt;&gt;""),"Invalid","Valid")</f>
        <v>Valid</v>
      </c>
      <c r="AA258" t="s">
        <v>33</v>
      </c>
      <c r="AB258" t="s">
        <v>1141</v>
      </c>
      <c r="AC258" t="str">
        <f t="shared" ref="AC258:AC321" si="43">IF(AA258="Yes",
   IF(OR(AB258="", AB258="Not Applicable"), "Missing Reason", "Valid"),
   "Not Applicable")</f>
        <v>Not Applicable</v>
      </c>
      <c r="AE258" s="4" t="str">
        <f t="shared" ref="AE258:AE321" si="44">IF(AND(W258&lt;&gt;"",AD258&lt;&gt;""),IF(W258&lt;AD258,"Invalid","Valid"),"Not Applicable")</f>
        <v>Not Applicable</v>
      </c>
      <c r="AF258" t="s">
        <v>34</v>
      </c>
    </row>
    <row r="259" spans="1:32" x14ac:dyDescent="0.3">
      <c r="A259" t="s">
        <v>357</v>
      </c>
      <c r="B259" s="4">
        <v>45587</v>
      </c>
      <c r="C259" t="s">
        <v>358</v>
      </c>
      <c r="D259" t="s">
        <v>25</v>
      </c>
      <c r="E259" t="s">
        <v>1142</v>
      </c>
      <c r="F259" t="s">
        <v>66</v>
      </c>
      <c r="G259" t="s">
        <v>359</v>
      </c>
      <c r="H259">
        <v>499</v>
      </c>
      <c r="I259" t="str">
        <f t="shared" si="36"/>
        <v>Normal</v>
      </c>
      <c r="J259">
        <v>2</v>
      </c>
      <c r="K259" t="str">
        <f t="shared" si="37"/>
        <v>Normal</v>
      </c>
      <c r="L259">
        <v>998</v>
      </c>
      <c r="M259">
        <f t="shared" si="38"/>
        <v>898.2</v>
      </c>
      <c r="N259" t="str">
        <f t="shared" si="39"/>
        <v>Mismatch</v>
      </c>
      <c r="O259" t="s">
        <v>99</v>
      </c>
      <c r="P259">
        <v>10</v>
      </c>
      <c r="Q259" t="str">
        <f t="shared" si="40"/>
        <v>Invalid</v>
      </c>
      <c r="R259" t="s">
        <v>41</v>
      </c>
      <c r="S259" t="s">
        <v>42</v>
      </c>
      <c r="T259" t="s">
        <v>82</v>
      </c>
      <c r="U259" t="s">
        <v>83</v>
      </c>
      <c r="V259" t="s">
        <v>43</v>
      </c>
      <c r="W259" s="4">
        <v>45597</v>
      </c>
      <c r="X259" s="4" t="str">
        <f t="shared" si="41"/>
        <v>Invalid</v>
      </c>
      <c r="Y259" t="s">
        <v>32</v>
      </c>
      <c r="Z259" t="str">
        <f t="shared" si="42"/>
        <v>Valid</v>
      </c>
      <c r="AA259" t="s">
        <v>33</v>
      </c>
      <c r="AB259" t="s">
        <v>1141</v>
      </c>
      <c r="AC259" t="str">
        <f t="shared" si="43"/>
        <v>Not Applicable</v>
      </c>
      <c r="AE259" s="4" t="str">
        <f t="shared" si="44"/>
        <v>Not Applicable</v>
      </c>
      <c r="AF259" t="s">
        <v>34</v>
      </c>
    </row>
    <row r="260" spans="1:32" x14ac:dyDescent="0.3">
      <c r="A260" t="s">
        <v>846</v>
      </c>
      <c r="B260" s="4">
        <v>45632</v>
      </c>
      <c r="C260" t="s">
        <v>847</v>
      </c>
      <c r="D260" t="s">
        <v>25</v>
      </c>
      <c r="E260" t="s">
        <v>1262</v>
      </c>
      <c r="F260" t="s">
        <v>50</v>
      </c>
      <c r="G260" t="s">
        <v>848</v>
      </c>
      <c r="H260">
        <v>2899</v>
      </c>
      <c r="I260" t="str">
        <f t="shared" si="36"/>
        <v>Normal</v>
      </c>
      <c r="J260">
        <v>1</v>
      </c>
      <c r="K260" t="str">
        <f t="shared" si="37"/>
        <v>Normal</v>
      </c>
      <c r="L260">
        <v>2899</v>
      </c>
      <c r="M260">
        <f t="shared" si="38"/>
        <v>2899</v>
      </c>
      <c r="N260" t="str">
        <f t="shared" si="39"/>
        <v>Match</v>
      </c>
      <c r="O260" s="1" t="s">
        <v>1140</v>
      </c>
      <c r="P260">
        <v>0</v>
      </c>
      <c r="Q260" t="str">
        <f t="shared" si="40"/>
        <v>Invalid</v>
      </c>
      <c r="R260" t="s">
        <v>41</v>
      </c>
      <c r="S260" t="s">
        <v>29</v>
      </c>
      <c r="T260" t="s">
        <v>82</v>
      </c>
      <c r="U260" t="s">
        <v>83</v>
      </c>
      <c r="V260" t="s">
        <v>43</v>
      </c>
      <c r="W260" s="4">
        <v>45644</v>
      </c>
      <c r="X260" s="4" t="str">
        <f t="shared" si="41"/>
        <v>Invalid</v>
      </c>
      <c r="Y260" t="s">
        <v>32</v>
      </c>
      <c r="Z260" t="str">
        <f t="shared" si="42"/>
        <v>Valid</v>
      </c>
      <c r="AA260" t="s">
        <v>33</v>
      </c>
      <c r="AB260" t="s">
        <v>1141</v>
      </c>
      <c r="AC260" t="str">
        <f t="shared" si="43"/>
        <v>Not Applicable</v>
      </c>
      <c r="AE260" s="4" t="str">
        <f t="shared" si="44"/>
        <v>Not Applicable</v>
      </c>
      <c r="AF260" t="s">
        <v>34</v>
      </c>
    </row>
    <row r="261" spans="1:32" x14ac:dyDescent="0.3">
      <c r="A261" t="s">
        <v>697</v>
      </c>
      <c r="B261" s="4">
        <v>45619</v>
      </c>
      <c r="C261" t="s">
        <v>698</v>
      </c>
      <c r="D261" t="s">
        <v>25</v>
      </c>
      <c r="E261" t="s">
        <v>1287</v>
      </c>
      <c r="F261" t="s">
        <v>38</v>
      </c>
      <c r="G261" t="s">
        <v>699</v>
      </c>
      <c r="H261">
        <v>2799</v>
      </c>
      <c r="I261" t="str">
        <f t="shared" si="36"/>
        <v>Normal</v>
      </c>
      <c r="J261">
        <v>1</v>
      </c>
      <c r="K261" t="str">
        <f t="shared" si="37"/>
        <v>Normal</v>
      </c>
      <c r="L261">
        <v>2799</v>
      </c>
      <c r="M261">
        <f t="shared" si="38"/>
        <v>2799</v>
      </c>
      <c r="N261" t="str">
        <f t="shared" si="39"/>
        <v>Match</v>
      </c>
      <c r="O261" t="s">
        <v>1140</v>
      </c>
      <c r="P261">
        <v>0</v>
      </c>
      <c r="Q261" t="str">
        <f t="shared" si="40"/>
        <v>Invalid</v>
      </c>
      <c r="R261" t="s">
        <v>41</v>
      </c>
      <c r="S261" t="s">
        <v>29</v>
      </c>
      <c r="T261" t="s">
        <v>82</v>
      </c>
      <c r="U261" t="s">
        <v>83</v>
      </c>
      <c r="V261" t="s">
        <v>43</v>
      </c>
      <c r="W261" s="4">
        <v>45635</v>
      </c>
      <c r="X261" s="4" t="str">
        <f t="shared" si="41"/>
        <v>Invalid</v>
      </c>
      <c r="Y261" t="s">
        <v>32</v>
      </c>
      <c r="Z261" t="str">
        <f t="shared" si="42"/>
        <v>Valid</v>
      </c>
      <c r="AA261" t="s">
        <v>33</v>
      </c>
      <c r="AB261" t="s">
        <v>1141</v>
      </c>
      <c r="AC261" t="str">
        <f t="shared" si="43"/>
        <v>Not Applicable</v>
      </c>
      <c r="AE261" s="4" t="str">
        <f t="shared" si="44"/>
        <v>Not Applicable</v>
      </c>
      <c r="AF261" t="s">
        <v>34</v>
      </c>
    </row>
    <row r="262" spans="1:32" x14ac:dyDescent="0.3">
      <c r="A262" t="s">
        <v>1022</v>
      </c>
      <c r="B262" s="4">
        <v>45647</v>
      </c>
      <c r="C262" t="s">
        <v>1023</v>
      </c>
      <c r="D262" t="s">
        <v>25</v>
      </c>
      <c r="E262" t="s">
        <v>1229</v>
      </c>
      <c r="F262" t="s">
        <v>50</v>
      </c>
      <c r="G262" t="s">
        <v>1024</v>
      </c>
      <c r="H262">
        <v>2399</v>
      </c>
      <c r="I262" t="str">
        <f t="shared" si="36"/>
        <v>Normal</v>
      </c>
      <c r="J262">
        <v>1</v>
      </c>
      <c r="K262" t="str">
        <f t="shared" si="37"/>
        <v>Normal</v>
      </c>
      <c r="L262">
        <v>2399</v>
      </c>
      <c r="M262">
        <f t="shared" si="38"/>
        <v>1919.2</v>
      </c>
      <c r="N262" t="str">
        <f t="shared" si="39"/>
        <v>Mismatch</v>
      </c>
      <c r="O262" s="1">
        <v>44166</v>
      </c>
      <c r="P262">
        <v>20</v>
      </c>
      <c r="Q262" t="str">
        <f t="shared" si="40"/>
        <v>Invalid</v>
      </c>
      <c r="R262" t="s">
        <v>28</v>
      </c>
      <c r="S262" t="s">
        <v>29</v>
      </c>
      <c r="T262" t="s">
        <v>82</v>
      </c>
      <c r="U262" t="s">
        <v>83</v>
      </c>
      <c r="V262" t="s">
        <v>43</v>
      </c>
      <c r="W262" s="4">
        <v>45669</v>
      </c>
      <c r="X262" s="4" t="str">
        <f t="shared" si="41"/>
        <v>Invalid</v>
      </c>
      <c r="Y262" t="s">
        <v>32</v>
      </c>
      <c r="Z262" t="str">
        <f t="shared" si="42"/>
        <v>Valid</v>
      </c>
      <c r="AA262" t="s">
        <v>33</v>
      </c>
      <c r="AB262" t="s">
        <v>1141</v>
      </c>
      <c r="AC262" t="str">
        <f t="shared" si="43"/>
        <v>Not Applicable</v>
      </c>
      <c r="AE262" s="4" t="str">
        <f t="shared" si="44"/>
        <v>Not Applicable</v>
      </c>
      <c r="AF262" t="s">
        <v>34</v>
      </c>
    </row>
    <row r="263" spans="1:32" x14ac:dyDescent="0.3">
      <c r="A263" t="s">
        <v>79</v>
      </c>
      <c r="B263" s="4">
        <v>45567</v>
      </c>
      <c r="C263" t="s">
        <v>80</v>
      </c>
      <c r="D263" t="s">
        <v>25</v>
      </c>
      <c r="E263" t="s">
        <v>1268</v>
      </c>
      <c r="F263" t="s">
        <v>50</v>
      </c>
      <c r="G263" t="s">
        <v>81</v>
      </c>
      <c r="H263">
        <v>2299</v>
      </c>
      <c r="I263" t="str">
        <f t="shared" si="36"/>
        <v>Normal</v>
      </c>
      <c r="J263">
        <v>1</v>
      </c>
      <c r="K263" t="str">
        <f t="shared" si="37"/>
        <v>Normal</v>
      </c>
      <c r="L263">
        <v>2299</v>
      </c>
      <c r="M263">
        <f t="shared" si="38"/>
        <v>2299</v>
      </c>
      <c r="N263" t="str">
        <f t="shared" si="39"/>
        <v>Match</v>
      </c>
      <c r="O263" t="s">
        <v>1140</v>
      </c>
      <c r="P263">
        <v>0</v>
      </c>
      <c r="Q263" t="str">
        <f t="shared" si="40"/>
        <v>Invalid</v>
      </c>
      <c r="R263" t="s">
        <v>28</v>
      </c>
      <c r="S263" t="s">
        <v>42</v>
      </c>
      <c r="T263" t="s">
        <v>82</v>
      </c>
      <c r="U263" t="s">
        <v>83</v>
      </c>
      <c r="V263" t="s">
        <v>43</v>
      </c>
      <c r="W263" s="4">
        <v>45575</v>
      </c>
      <c r="X263" s="4" t="str">
        <f t="shared" si="41"/>
        <v>Invalid</v>
      </c>
      <c r="Y263" t="s">
        <v>32</v>
      </c>
      <c r="Z263" t="str">
        <f t="shared" si="42"/>
        <v>Valid</v>
      </c>
      <c r="AA263" t="s">
        <v>33</v>
      </c>
      <c r="AB263" t="s">
        <v>1141</v>
      </c>
      <c r="AC263" t="str">
        <f t="shared" si="43"/>
        <v>Not Applicable</v>
      </c>
      <c r="AE263" s="4" t="str">
        <f t="shared" si="44"/>
        <v>Not Applicable</v>
      </c>
      <c r="AF263" t="s">
        <v>34</v>
      </c>
    </row>
    <row r="264" spans="1:32" x14ac:dyDescent="0.3">
      <c r="A264" t="s">
        <v>812</v>
      </c>
      <c r="B264" s="4">
        <v>45629</v>
      </c>
      <c r="C264" t="s">
        <v>813</v>
      </c>
      <c r="D264" t="s">
        <v>25</v>
      </c>
      <c r="E264" t="s">
        <v>1358</v>
      </c>
      <c r="F264" t="s">
        <v>57</v>
      </c>
      <c r="G264" t="s">
        <v>814</v>
      </c>
      <c r="H264">
        <v>7999</v>
      </c>
      <c r="I264" t="str">
        <f t="shared" si="36"/>
        <v>Normal</v>
      </c>
      <c r="J264">
        <v>1</v>
      </c>
      <c r="K264" t="str">
        <f t="shared" si="37"/>
        <v>Normal</v>
      </c>
      <c r="L264">
        <v>7999</v>
      </c>
      <c r="M264">
        <f t="shared" si="38"/>
        <v>6399.2000000000007</v>
      </c>
      <c r="N264" t="str">
        <f t="shared" si="39"/>
        <v>Mismatch</v>
      </c>
      <c r="O264" s="1">
        <v>44166</v>
      </c>
      <c r="P264">
        <v>20</v>
      </c>
      <c r="Q264" t="str">
        <f t="shared" si="40"/>
        <v>Invalid</v>
      </c>
      <c r="R264" t="s">
        <v>100</v>
      </c>
      <c r="S264" t="s">
        <v>61</v>
      </c>
      <c r="T264" t="s">
        <v>815</v>
      </c>
      <c r="U264" t="s">
        <v>816</v>
      </c>
      <c r="V264" t="s">
        <v>43</v>
      </c>
      <c r="W264" s="4">
        <v>45640</v>
      </c>
      <c r="X264" s="4" t="str">
        <f t="shared" si="41"/>
        <v>Invalid</v>
      </c>
      <c r="Y264" t="s">
        <v>32</v>
      </c>
      <c r="Z264" t="str">
        <f t="shared" si="42"/>
        <v>Valid</v>
      </c>
      <c r="AA264" t="s">
        <v>33</v>
      </c>
      <c r="AB264" t="s">
        <v>1141</v>
      </c>
      <c r="AC264" t="str">
        <f t="shared" si="43"/>
        <v>Not Applicable</v>
      </c>
      <c r="AE264" s="4" t="str">
        <f t="shared" si="44"/>
        <v>Not Applicable</v>
      </c>
      <c r="AF264" t="s">
        <v>34</v>
      </c>
    </row>
    <row r="265" spans="1:32" x14ac:dyDescent="0.3">
      <c r="A265" t="s">
        <v>432</v>
      </c>
      <c r="B265" s="4">
        <v>45593</v>
      </c>
      <c r="C265" t="s">
        <v>433</v>
      </c>
      <c r="D265" t="s">
        <v>37</v>
      </c>
      <c r="E265" t="s">
        <v>1156</v>
      </c>
      <c r="F265" t="s">
        <v>66</v>
      </c>
      <c r="G265" t="s">
        <v>434</v>
      </c>
      <c r="H265">
        <v>1599</v>
      </c>
      <c r="I265" t="str">
        <f t="shared" si="36"/>
        <v>Normal</v>
      </c>
      <c r="J265">
        <v>1</v>
      </c>
      <c r="K265" t="str">
        <f t="shared" si="37"/>
        <v>Normal</v>
      </c>
      <c r="L265">
        <v>1599</v>
      </c>
      <c r="M265">
        <f t="shared" si="38"/>
        <v>959.4</v>
      </c>
      <c r="N265" t="str">
        <f t="shared" si="39"/>
        <v>Mismatch</v>
      </c>
      <c r="O265" t="s">
        <v>425</v>
      </c>
      <c r="P265">
        <v>40</v>
      </c>
      <c r="Q265" t="str">
        <f t="shared" si="40"/>
        <v>Invalid</v>
      </c>
      <c r="R265" t="s">
        <v>41</v>
      </c>
      <c r="S265" t="s">
        <v>29</v>
      </c>
      <c r="T265" t="s">
        <v>101</v>
      </c>
      <c r="U265" t="s">
        <v>102</v>
      </c>
      <c r="V265" t="s">
        <v>43</v>
      </c>
      <c r="W265" s="4">
        <v>45599</v>
      </c>
      <c r="X265" s="4" t="str">
        <f t="shared" si="41"/>
        <v>Invalid</v>
      </c>
      <c r="Y265" t="s">
        <v>32</v>
      </c>
      <c r="Z265" t="str">
        <f t="shared" si="42"/>
        <v>Valid</v>
      </c>
      <c r="AA265" t="s">
        <v>33</v>
      </c>
      <c r="AB265" t="s">
        <v>1141</v>
      </c>
      <c r="AC265" t="str">
        <f t="shared" si="43"/>
        <v>Not Applicable</v>
      </c>
      <c r="AE265" s="4" t="str">
        <f t="shared" si="44"/>
        <v>Not Applicable</v>
      </c>
      <c r="AF265" t="s">
        <v>34</v>
      </c>
    </row>
    <row r="266" spans="1:32" x14ac:dyDescent="0.3">
      <c r="A266" t="s">
        <v>208</v>
      </c>
      <c r="B266" s="4">
        <v>45574</v>
      </c>
      <c r="C266" t="s">
        <v>209</v>
      </c>
      <c r="D266" t="s">
        <v>25</v>
      </c>
      <c r="E266" t="s">
        <v>1197</v>
      </c>
      <c r="F266" t="s">
        <v>66</v>
      </c>
      <c r="G266" t="s">
        <v>210</v>
      </c>
      <c r="H266">
        <v>1499</v>
      </c>
      <c r="I266" t="str">
        <f t="shared" si="36"/>
        <v>Normal</v>
      </c>
      <c r="J266">
        <v>1</v>
      </c>
      <c r="K266" t="str">
        <f t="shared" si="37"/>
        <v>Normal</v>
      </c>
      <c r="L266">
        <v>1499</v>
      </c>
      <c r="M266">
        <f t="shared" si="38"/>
        <v>1349.1000000000001</v>
      </c>
      <c r="N266" t="str">
        <f t="shared" si="39"/>
        <v>Mismatch</v>
      </c>
      <c r="O266" t="s">
        <v>99</v>
      </c>
      <c r="P266">
        <v>10</v>
      </c>
      <c r="Q266" t="str">
        <f t="shared" si="40"/>
        <v>Invalid</v>
      </c>
      <c r="R266" t="s">
        <v>60</v>
      </c>
      <c r="S266" t="s">
        <v>42</v>
      </c>
      <c r="T266" t="s">
        <v>101</v>
      </c>
      <c r="U266" t="s">
        <v>102</v>
      </c>
      <c r="V266" t="s">
        <v>43</v>
      </c>
      <c r="W266" s="4">
        <v>45582</v>
      </c>
      <c r="X266" s="4" t="str">
        <f t="shared" si="41"/>
        <v>Invalid</v>
      </c>
      <c r="Y266" t="s">
        <v>32</v>
      </c>
      <c r="Z266" t="str">
        <f t="shared" si="42"/>
        <v>Valid</v>
      </c>
      <c r="AA266" t="s">
        <v>33</v>
      </c>
      <c r="AB266" t="s">
        <v>1141</v>
      </c>
      <c r="AC266" t="str">
        <f t="shared" si="43"/>
        <v>Not Applicable</v>
      </c>
      <c r="AE266" s="4" t="str">
        <f t="shared" si="44"/>
        <v>Not Applicable</v>
      </c>
      <c r="AF266" t="s">
        <v>34</v>
      </c>
    </row>
    <row r="267" spans="1:32" x14ac:dyDescent="0.3">
      <c r="A267" t="s">
        <v>96</v>
      </c>
      <c r="B267" s="4">
        <v>45568</v>
      </c>
      <c r="C267" t="s">
        <v>97</v>
      </c>
      <c r="D267" t="s">
        <v>25</v>
      </c>
      <c r="E267" t="s">
        <v>1143</v>
      </c>
      <c r="F267" t="s">
        <v>66</v>
      </c>
      <c r="G267" t="s">
        <v>98</v>
      </c>
      <c r="H267">
        <v>1299</v>
      </c>
      <c r="I267" t="str">
        <f t="shared" si="36"/>
        <v>Normal</v>
      </c>
      <c r="J267">
        <v>2</v>
      </c>
      <c r="K267" t="str">
        <f t="shared" si="37"/>
        <v>Normal</v>
      </c>
      <c r="L267">
        <v>2598</v>
      </c>
      <c r="M267">
        <f t="shared" si="38"/>
        <v>2338.2000000000003</v>
      </c>
      <c r="N267" t="str">
        <f t="shared" si="39"/>
        <v>Mismatch</v>
      </c>
      <c r="O267" t="s">
        <v>99</v>
      </c>
      <c r="P267">
        <v>10</v>
      </c>
      <c r="Q267" t="str">
        <f t="shared" si="40"/>
        <v>Invalid</v>
      </c>
      <c r="R267" t="s">
        <v>100</v>
      </c>
      <c r="S267" t="s">
        <v>29</v>
      </c>
      <c r="T267" t="s">
        <v>101</v>
      </c>
      <c r="U267" t="s">
        <v>102</v>
      </c>
      <c r="V267" t="s">
        <v>43</v>
      </c>
      <c r="W267" s="4">
        <v>45575</v>
      </c>
      <c r="X267" s="4" t="str">
        <f t="shared" si="41"/>
        <v>Invalid</v>
      </c>
      <c r="Y267" t="s">
        <v>32</v>
      </c>
      <c r="Z267" t="str">
        <f t="shared" si="42"/>
        <v>Valid</v>
      </c>
      <c r="AA267" t="s">
        <v>33</v>
      </c>
      <c r="AB267" t="s">
        <v>1141</v>
      </c>
      <c r="AC267" t="str">
        <f t="shared" si="43"/>
        <v>Not Applicable</v>
      </c>
      <c r="AE267" s="4" t="str">
        <f t="shared" si="44"/>
        <v>Not Applicable</v>
      </c>
      <c r="AF267" t="s">
        <v>34</v>
      </c>
    </row>
    <row r="268" spans="1:32" x14ac:dyDescent="0.3">
      <c r="A268" t="s">
        <v>852</v>
      </c>
      <c r="B268" s="4">
        <v>45632</v>
      </c>
      <c r="C268" t="s">
        <v>853</v>
      </c>
      <c r="D268" t="s">
        <v>25</v>
      </c>
      <c r="E268" t="s">
        <v>1171</v>
      </c>
      <c r="F268" t="s">
        <v>66</v>
      </c>
      <c r="G268" t="s">
        <v>854</v>
      </c>
      <c r="H268">
        <v>2499</v>
      </c>
      <c r="I268" t="str">
        <f t="shared" si="36"/>
        <v>Normal</v>
      </c>
      <c r="J268">
        <v>1</v>
      </c>
      <c r="K268" t="str">
        <f t="shared" si="37"/>
        <v>Normal</v>
      </c>
      <c r="L268">
        <v>2499</v>
      </c>
      <c r="M268">
        <f t="shared" si="38"/>
        <v>2499</v>
      </c>
      <c r="N268" t="str">
        <f t="shared" si="39"/>
        <v>Match</v>
      </c>
      <c r="O268" s="1" t="s">
        <v>1140</v>
      </c>
      <c r="P268">
        <v>0</v>
      </c>
      <c r="Q268" t="str">
        <f t="shared" si="40"/>
        <v>Invalid</v>
      </c>
      <c r="R268" t="s">
        <v>100</v>
      </c>
      <c r="S268" t="s">
        <v>61</v>
      </c>
      <c r="T268" t="s">
        <v>101</v>
      </c>
      <c r="U268" t="s">
        <v>102</v>
      </c>
      <c r="V268" t="s">
        <v>43</v>
      </c>
      <c r="W268" s="4">
        <v>45645</v>
      </c>
      <c r="X268" s="4" t="str">
        <f t="shared" si="41"/>
        <v>Invalid</v>
      </c>
      <c r="Y268" t="s">
        <v>32</v>
      </c>
      <c r="Z268" t="str">
        <f t="shared" si="42"/>
        <v>Valid</v>
      </c>
      <c r="AA268" t="s">
        <v>33</v>
      </c>
      <c r="AB268" t="s">
        <v>1141</v>
      </c>
      <c r="AC268" t="str">
        <f t="shared" si="43"/>
        <v>Not Applicable</v>
      </c>
      <c r="AE268" s="4" t="str">
        <f t="shared" si="44"/>
        <v>Not Applicable</v>
      </c>
      <c r="AF268" t="s">
        <v>34</v>
      </c>
    </row>
    <row r="269" spans="1:32" x14ac:dyDescent="0.3">
      <c r="A269" t="s">
        <v>795</v>
      </c>
      <c r="B269" s="4">
        <v>45628</v>
      </c>
      <c r="C269" t="s">
        <v>796</v>
      </c>
      <c r="D269" t="s">
        <v>37</v>
      </c>
      <c r="E269" t="s">
        <v>1149</v>
      </c>
      <c r="F269" t="s">
        <v>66</v>
      </c>
      <c r="G269" t="s">
        <v>797</v>
      </c>
      <c r="H269">
        <v>599</v>
      </c>
      <c r="I269" t="str">
        <f t="shared" si="36"/>
        <v>Normal</v>
      </c>
      <c r="J269">
        <v>2</v>
      </c>
      <c r="K269" t="str">
        <f t="shared" si="37"/>
        <v>Normal</v>
      </c>
      <c r="L269">
        <v>1198</v>
      </c>
      <c r="M269">
        <f t="shared" si="38"/>
        <v>958.40000000000009</v>
      </c>
      <c r="N269" t="str">
        <f t="shared" si="39"/>
        <v>Mismatch</v>
      </c>
      <c r="O269" s="1">
        <v>44166</v>
      </c>
      <c r="P269">
        <v>20</v>
      </c>
      <c r="Q269" t="str">
        <f t="shared" si="40"/>
        <v>Invalid</v>
      </c>
      <c r="R269" t="s">
        <v>52</v>
      </c>
      <c r="S269" t="s">
        <v>42</v>
      </c>
      <c r="T269" t="s">
        <v>798</v>
      </c>
      <c r="U269" t="s">
        <v>785</v>
      </c>
      <c r="V269" t="s">
        <v>43</v>
      </c>
      <c r="W269" s="4">
        <v>45636</v>
      </c>
      <c r="X269" s="4" t="str">
        <f t="shared" si="41"/>
        <v>Invalid</v>
      </c>
      <c r="Y269" t="s">
        <v>32</v>
      </c>
      <c r="Z269" t="str">
        <f t="shared" si="42"/>
        <v>Valid</v>
      </c>
      <c r="AA269" t="s">
        <v>33</v>
      </c>
      <c r="AB269" t="s">
        <v>1141</v>
      </c>
      <c r="AC269" t="str">
        <f t="shared" si="43"/>
        <v>Not Applicable</v>
      </c>
      <c r="AE269" s="4" t="str">
        <f t="shared" si="44"/>
        <v>Not Applicable</v>
      </c>
      <c r="AF269" t="s">
        <v>34</v>
      </c>
    </row>
    <row r="270" spans="1:32" x14ac:dyDescent="0.3">
      <c r="A270" t="s">
        <v>268</v>
      </c>
      <c r="B270" s="4">
        <v>45579</v>
      </c>
      <c r="C270" t="s">
        <v>269</v>
      </c>
      <c r="D270" t="s">
        <v>25</v>
      </c>
      <c r="E270" t="s">
        <v>1151</v>
      </c>
      <c r="F270" t="s">
        <v>66</v>
      </c>
      <c r="G270" t="s">
        <v>270</v>
      </c>
      <c r="H270">
        <v>899</v>
      </c>
      <c r="I270" t="str">
        <f t="shared" si="36"/>
        <v>Normal</v>
      </c>
      <c r="J270">
        <v>1</v>
      </c>
      <c r="K270" t="str">
        <f t="shared" si="37"/>
        <v>Normal</v>
      </c>
      <c r="L270">
        <v>899</v>
      </c>
      <c r="M270">
        <f t="shared" si="38"/>
        <v>899</v>
      </c>
      <c r="N270" t="str">
        <f t="shared" si="39"/>
        <v>Match</v>
      </c>
      <c r="O270" t="s">
        <v>1140</v>
      </c>
      <c r="P270">
        <v>0</v>
      </c>
      <c r="Q270" t="str">
        <f t="shared" si="40"/>
        <v>Invalid</v>
      </c>
      <c r="R270" t="s">
        <v>41</v>
      </c>
      <c r="S270" t="s">
        <v>42</v>
      </c>
      <c r="T270" t="s">
        <v>30</v>
      </c>
      <c r="U270" t="s">
        <v>31</v>
      </c>
      <c r="V270" t="s">
        <v>30</v>
      </c>
      <c r="W270" s="4">
        <v>45588</v>
      </c>
      <c r="X270" s="4" t="str">
        <f t="shared" si="41"/>
        <v>Invalid</v>
      </c>
      <c r="Y270" t="s">
        <v>32</v>
      </c>
      <c r="Z270" t="str">
        <f t="shared" si="42"/>
        <v>Valid</v>
      </c>
      <c r="AA270" t="s">
        <v>33</v>
      </c>
      <c r="AB270" t="s">
        <v>1141</v>
      </c>
      <c r="AC270" t="str">
        <f t="shared" si="43"/>
        <v>Not Applicable</v>
      </c>
      <c r="AE270" s="4" t="str">
        <f t="shared" si="44"/>
        <v>Not Applicable</v>
      </c>
      <c r="AF270" t="s">
        <v>34</v>
      </c>
    </row>
    <row r="271" spans="1:32" x14ac:dyDescent="0.3">
      <c r="A271" t="s">
        <v>721</v>
      </c>
      <c r="B271" s="4">
        <v>45621</v>
      </c>
      <c r="C271" t="s">
        <v>722</v>
      </c>
      <c r="D271" t="s">
        <v>25</v>
      </c>
      <c r="E271" t="s">
        <v>1167</v>
      </c>
      <c r="F271" t="s">
        <v>66</v>
      </c>
      <c r="G271" t="s">
        <v>723</v>
      </c>
      <c r="H271">
        <v>1199</v>
      </c>
      <c r="I271" t="str">
        <f t="shared" si="36"/>
        <v>Normal</v>
      </c>
      <c r="J271">
        <v>1</v>
      </c>
      <c r="K271" t="str">
        <f t="shared" si="37"/>
        <v>Normal</v>
      </c>
      <c r="L271">
        <v>1199</v>
      </c>
      <c r="M271">
        <f t="shared" si="38"/>
        <v>1199</v>
      </c>
      <c r="N271" t="str">
        <f t="shared" si="39"/>
        <v>Match</v>
      </c>
      <c r="O271" t="s">
        <v>1140</v>
      </c>
      <c r="P271">
        <v>0</v>
      </c>
      <c r="Q271" t="str">
        <f t="shared" si="40"/>
        <v>Invalid</v>
      </c>
      <c r="R271" t="s">
        <v>41</v>
      </c>
      <c r="S271" t="s">
        <v>61</v>
      </c>
      <c r="T271" t="s">
        <v>30</v>
      </c>
      <c r="U271" t="s">
        <v>31</v>
      </c>
      <c r="V271" t="s">
        <v>30</v>
      </c>
      <c r="W271" s="4">
        <v>45636</v>
      </c>
      <c r="X271" s="4" t="str">
        <f t="shared" si="41"/>
        <v>Invalid</v>
      </c>
      <c r="Y271" t="s">
        <v>32</v>
      </c>
      <c r="Z271" t="str">
        <f t="shared" si="42"/>
        <v>Valid</v>
      </c>
      <c r="AA271" t="s">
        <v>33</v>
      </c>
      <c r="AB271" t="s">
        <v>1141</v>
      </c>
      <c r="AC271" t="str">
        <f t="shared" si="43"/>
        <v>Not Applicable</v>
      </c>
      <c r="AE271" s="4" t="str">
        <f t="shared" si="44"/>
        <v>Not Applicable</v>
      </c>
      <c r="AF271" t="s">
        <v>34</v>
      </c>
    </row>
    <row r="272" spans="1:32" x14ac:dyDescent="0.3">
      <c r="A272" t="s">
        <v>858</v>
      </c>
      <c r="B272" s="4">
        <v>45633</v>
      </c>
      <c r="C272" t="s">
        <v>859</v>
      </c>
      <c r="D272" t="s">
        <v>25</v>
      </c>
      <c r="E272" t="s">
        <v>1286</v>
      </c>
      <c r="F272" t="s">
        <v>38</v>
      </c>
      <c r="G272" t="s">
        <v>729</v>
      </c>
      <c r="H272">
        <v>3299</v>
      </c>
      <c r="I272" t="str">
        <f t="shared" si="36"/>
        <v>Normal</v>
      </c>
      <c r="J272">
        <v>1</v>
      </c>
      <c r="K272" t="str">
        <f t="shared" si="37"/>
        <v>Normal</v>
      </c>
      <c r="L272">
        <v>3299</v>
      </c>
      <c r="M272">
        <f t="shared" si="38"/>
        <v>2639.2000000000003</v>
      </c>
      <c r="N272" t="str">
        <f t="shared" si="39"/>
        <v>Mismatch</v>
      </c>
      <c r="O272" s="1">
        <v>44166</v>
      </c>
      <c r="P272">
        <v>20</v>
      </c>
      <c r="Q272" t="str">
        <f t="shared" si="40"/>
        <v>Invalid</v>
      </c>
      <c r="R272" t="s">
        <v>41</v>
      </c>
      <c r="S272" t="s">
        <v>42</v>
      </c>
      <c r="T272" t="s">
        <v>30</v>
      </c>
      <c r="U272" t="s">
        <v>31</v>
      </c>
      <c r="V272" t="s">
        <v>30</v>
      </c>
      <c r="W272" s="4">
        <v>45646</v>
      </c>
      <c r="X272" s="4" t="str">
        <f t="shared" si="41"/>
        <v>Invalid</v>
      </c>
      <c r="Y272" t="s">
        <v>32</v>
      </c>
      <c r="Z272" t="str">
        <f t="shared" si="42"/>
        <v>Valid</v>
      </c>
      <c r="AA272" t="s">
        <v>33</v>
      </c>
      <c r="AB272" t="s">
        <v>1141</v>
      </c>
      <c r="AC272" t="str">
        <f t="shared" si="43"/>
        <v>Not Applicable</v>
      </c>
      <c r="AE272" s="4" t="str">
        <f t="shared" si="44"/>
        <v>Not Applicable</v>
      </c>
      <c r="AF272" t="s">
        <v>34</v>
      </c>
    </row>
    <row r="273" spans="1:32" x14ac:dyDescent="0.3">
      <c r="A273" t="s">
        <v>769</v>
      </c>
      <c r="B273" s="4">
        <v>45627</v>
      </c>
      <c r="C273" t="s">
        <v>770</v>
      </c>
      <c r="D273" t="s">
        <v>25</v>
      </c>
      <c r="E273" t="s">
        <v>1437</v>
      </c>
      <c r="F273" t="s">
        <v>26</v>
      </c>
      <c r="G273" t="s">
        <v>771</v>
      </c>
      <c r="H273">
        <v>2499</v>
      </c>
      <c r="I273" t="str">
        <f t="shared" si="36"/>
        <v>Normal</v>
      </c>
      <c r="J273">
        <v>1</v>
      </c>
      <c r="K273" t="str">
        <f t="shared" si="37"/>
        <v>Normal</v>
      </c>
      <c r="L273">
        <v>2499</v>
      </c>
      <c r="M273">
        <f t="shared" si="38"/>
        <v>1999.2</v>
      </c>
      <c r="N273" t="str">
        <f t="shared" si="39"/>
        <v>Mismatch</v>
      </c>
      <c r="O273" s="1">
        <v>44166</v>
      </c>
      <c r="P273">
        <v>20</v>
      </c>
      <c r="Q273" t="str">
        <f t="shared" si="40"/>
        <v>Invalid</v>
      </c>
      <c r="R273" t="s">
        <v>41</v>
      </c>
      <c r="S273" t="s">
        <v>29</v>
      </c>
      <c r="T273" t="s">
        <v>30</v>
      </c>
      <c r="U273" t="s">
        <v>31</v>
      </c>
      <c r="V273" t="s">
        <v>30</v>
      </c>
      <c r="W273" s="4">
        <v>45632</v>
      </c>
      <c r="X273" s="4" t="str">
        <f t="shared" si="41"/>
        <v>Invalid</v>
      </c>
      <c r="Y273" t="s">
        <v>32</v>
      </c>
      <c r="Z273" t="str">
        <f t="shared" si="42"/>
        <v>Valid</v>
      </c>
      <c r="AA273" t="s">
        <v>33</v>
      </c>
      <c r="AB273" t="s">
        <v>1141</v>
      </c>
      <c r="AC273" t="str">
        <f t="shared" si="43"/>
        <v>Not Applicable</v>
      </c>
      <c r="AE273" s="4" t="str">
        <f t="shared" si="44"/>
        <v>Not Applicable</v>
      </c>
      <c r="AF273" t="s">
        <v>34</v>
      </c>
    </row>
    <row r="274" spans="1:32" x14ac:dyDescent="0.3">
      <c r="A274" t="s">
        <v>109</v>
      </c>
      <c r="B274" s="4">
        <v>45568</v>
      </c>
      <c r="C274" t="s">
        <v>110</v>
      </c>
      <c r="D274" t="s">
        <v>37</v>
      </c>
      <c r="E274" t="s">
        <v>1459</v>
      </c>
      <c r="F274" t="s">
        <v>26</v>
      </c>
      <c r="G274" t="s">
        <v>111</v>
      </c>
      <c r="H274">
        <v>2499</v>
      </c>
      <c r="I274" t="str">
        <f t="shared" si="36"/>
        <v>Normal</v>
      </c>
      <c r="J274">
        <v>1</v>
      </c>
      <c r="K274" t="str">
        <f t="shared" si="37"/>
        <v>Normal</v>
      </c>
      <c r="L274">
        <v>2499</v>
      </c>
      <c r="M274">
        <f t="shared" si="38"/>
        <v>2499</v>
      </c>
      <c r="N274" t="str">
        <f t="shared" si="39"/>
        <v>Match</v>
      </c>
      <c r="O274" t="s">
        <v>1140</v>
      </c>
      <c r="P274">
        <v>0</v>
      </c>
      <c r="Q274" t="str">
        <f t="shared" si="40"/>
        <v>Invalid</v>
      </c>
      <c r="R274" t="s">
        <v>41</v>
      </c>
      <c r="S274" t="s">
        <v>29</v>
      </c>
      <c r="T274" t="s">
        <v>30</v>
      </c>
      <c r="U274" t="s">
        <v>31</v>
      </c>
      <c r="V274" t="s">
        <v>30</v>
      </c>
      <c r="W274" s="4">
        <v>45574</v>
      </c>
      <c r="X274" s="4" t="str">
        <f t="shared" si="41"/>
        <v>Invalid</v>
      </c>
      <c r="Y274" t="s">
        <v>32</v>
      </c>
      <c r="Z274" t="str">
        <f t="shared" si="42"/>
        <v>Valid</v>
      </c>
      <c r="AA274" t="s">
        <v>33</v>
      </c>
      <c r="AB274" t="s">
        <v>1141</v>
      </c>
      <c r="AC274" t="str">
        <f t="shared" si="43"/>
        <v>Not Applicable</v>
      </c>
      <c r="AE274" s="4" t="str">
        <f t="shared" si="44"/>
        <v>Not Applicable</v>
      </c>
      <c r="AF274" t="s">
        <v>34</v>
      </c>
    </row>
    <row r="275" spans="1:32" x14ac:dyDescent="0.3">
      <c r="A275" t="s">
        <v>691</v>
      </c>
      <c r="B275" s="4">
        <v>45618</v>
      </c>
      <c r="C275" t="s">
        <v>692</v>
      </c>
      <c r="D275" t="s">
        <v>25</v>
      </c>
      <c r="E275" t="s">
        <v>1158</v>
      </c>
      <c r="F275" t="s">
        <v>66</v>
      </c>
      <c r="G275" t="s">
        <v>693</v>
      </c>
      <c r="H275">
        <v>999</v>
      </c>
      <c r="I275" t="str">
        <f t="shared" si="36"/>
        <v>Normal</v>
      </c>
      <c r="J275">
        <v>1</v>
      </c>
      <c r="K275" t="str">
        <f t="shared" si="37"/>
        <v>Normal</v>
      </c>
      <c r="L275">
        <v>999</v>
      </c>
      <c r="M275">
        <f t="shared" si="38"/>
        <v>999</v>
      </c>
      <c r="N275" t="str">
        <f t="shared" si="39"/>
        <v>Match</v>
      </c>
      <c r="O275" t="s">
        <v>1140</v>
      </c>
      <c r="P275">
        <v>0</v>
      </c>
      <c r="Q275" t="str">
        <f t="shared" si="40"/>
        <v>Invalid</v>
      </c>
      <c r="R275" t="s">
        <v>60</v>
      </c>
      <c r="S275" t="s">
        <v>42</v>
      </c>
      <c r="T275" t="s">
        <v>30</v>
      </c>
      <c r="U275" t="s">
        <v>31</v>
      </c>
      <c r="V275" t="s">
        <v>30</v>
      </c>
      <c r="W275" s="4">
        <v>45632</v>
      </c>
      <c r="X275" s="4" t="str">
        <f t="shared" si="41"/>
        <v>Invalid</v>
      </c>
      <c r="Y275" t="s">
        <v>32</v>
      </c>
      <c r="Z275" t="str">
        <f t="shared" si="42"/>
        <v>Valid</v>
      </c>
      <c r="AA275" t="s">
        <v>33</v>
      </c>
      <c r="AB275" t="s">
        <v>1141</v>
      </c>
      <c r="AC275" t="str">
        <f t="shared" si="43"/>
        <v>Not Applicable</v>
      </c>
      <c r="AE275" s="4" t="str">
        <f t="shared" si="44"/>
        <v>Not Applicable</v>
      </c>
      <c r="AF275" t="s">
        <v>34</v>
      </c>
    </row>
    <row r="276" spans="1:32" x14ac:dyDescent="0.3">
      <c r="A276" t="s">
        <v>65</v>
      </c>
      <c r="B276" s="4">
        <v>45566</v>
      </c>
      <c r="C276" t="s">
        <v>24</v>
      </c>
      <c r="D276" t="s">
        <v>25</v>
      </c>
      <c r="E276" t="s">
        <v>1192</v>
      </c>
      <c r="F276" t="s">
        <v>66</v>
      </c>
      <c r="G276" t="s">
        <v>67</v>
      </c>
      <c r="H276">
        <v>799</v>
      </c>
      <c r="I276" t="str">
        <f t="shared" si="36"/>
        <v>Normal</v>
      </c>
      <c r="J276">
        <v>3</v>
      </c>
      <c r="K276" t="str">
        <f t="shared" si="37"/>
        <v>Normal</v>
      </c>
      <c r="L276">
        <v>2397</v>
      </c>
      <c r="M276">
        <f t="shared" si="38"/>
        <v>2397</v>
      </c>
      <c r="N276" t="str">
        <f t="shared" si="39"/>
        <v>Match</v>
      </c>
      <c r="O276" t="s">
        <v>1140</v>
      </c>
      <c r="P276">
        <v>0</v>
      </c>
      <c r="Q276" t="str">
        <f t="shared" si="40"/>
        <v>Invalid</v>
      </c>
      <c r="R276" t="s">
        <v>28</v>
      </c>
      <c r="S276" t="s">
        <v>29</v>
      </c>
      <c r="T276" t="s">
        <v>30</v>
      </c>
      <c r="U276" t="s">
        <v>31</v>
      </c>
      <c r="V276" t="s">
        <v>30</v>
      </c>
      <c r="W276" s="4">
        <v>45571</v>
      </c>
      <c r="X276" s="4" t="str">
        <f t="shared" si="41"/>
        <v>Invalid</v>
      </c>
      <c r="Y276" t="s">
        <v>32</v>
      </c>
      <c r="Z276" t="str">
        <f t="shared" si="42"/>
        <v>Valid</v>
      </c>
      <c r="AA276" t="s">
        <v>33</v>
      </c>
      <c r="AB276" t="s">
        <v>1141</v>
      </c>
      <c r="AC276" t="str">
        <f t="shared" si="43"/>
        <v>Not Applicable</v>
      </c>
      <c r="AE276" s="4" t="str">
        <f t="shared" si="44"/>
        <v>Not Applicable</v>
      </c>
      <c r="AF276" t="s">
        <v>34</v>
      </c>
    </row>
    <row r="277" spans="1:32" x14ac:dyDescent="0.3">
      <c r="A277" t="s">
        <v>962</v>
      </c>
      <c r="B277" s="4">
        <v>45642</v>
      </c>
      <c r="C277" t="s">
        <v>963</v>
      </c>
      <c r="D277" t="s">
        <v>25</v>
      </c>
      <c r="E277" t="s">
        <v>1222</v>
      </c>
      <c r="F277" t="s">
        <v>50</v>
      </c>
      <c r="G277" t="s">
        <v>964</v>
      </c>
      <c r="H277">
        <v>2599</v>
      </c>
      <c r="I277" t="str">
        <f t="shared" si="36"/>
        <v>Normal</v>
      </c>
      <c r="J277">
        <v>1</v>
      </c>
      <c r="K277" t="str">
        <f t="shared" si="37"/>
        <v>Normal</v>
      </c>
      <c r="L277">
        <v>2599</v>
      </c>
      <c r="M277">
        <f t="shared" si="38"/>
        <v>2599</v>
      </c>
      <c r="N277" t="str">
        <f t="shared" si="39"/>
        <v>Match</v>
      </c>
      <c r="O277" s="1" t="s">
        <v>1140</v>
      </c>
      <c r="P277">
        <v>0</v>
      </c>
      <c r="Q277" t="str">
        <f t="shared" si="40"/>
        <v>Invalid</v>
      </c>
      <c r="R277" t="s">
        <v>28</v>
      </c>
      <c r="S277" t="s">
        <v>42</v>
      </c>
      <c r="T277" t="s">
        <v>30</v>
      </c>
      <c r="U277" t="s">
        <v>31</v>
      </c>
      <c r="V277" t="s">
        <v>30</v>
      </c>
      <c r="W277" s="4">
        <v>45661</v>
      </c>
      <c r="X277" s="4" t="str">
        <f t="shared" si="41"/>
        <v>Invalid</v>
      </c>
      <c r="Y277" t="s">
        <v>32</v>
      </c>
      <c r="Z277" t="str">
        <f t="shared" si="42"/>
        <v>Valid</v>
      </c>
      <c r="AA277" t="s">
        <v>33</v>
      </c>
      <c r="AB277" t="s">
        <v>1141</v>
      </c>
      <c r="AC277" t="str">
        <f t="shared" si="43"/>
        <v>Not Applicable</v>
      </c>
      <c r="AE277" s="4" t="str">
        <f t="shared" si="44"/>
        <v>Not Applicable</v>
      </c>
      <c r="AF277" t="s">
        <v>34</v>
      </c>
    </row>
    <row r="278" spans="1:32" x14ac:dyDescent="0.3">
      <c r="A278" t="s">
        <v>932</v>
      </c>
      <c r="B278" s="4">
        <v>45639</v>
      </c>
      <c r="C278" t="s">
        <v>933</v>
      </c>
      <c r="D278" t="s">
        <v>25</v>
      </c>
      <c r="E278" t="s">
        <v>1253</v>
      </c>
      <c r="F278" t="s">
        <v>50</v>
      </c>
      <c r="G278" t="s">
        <v>934</v>
      </c>
      <c r="H278">
        <v>1899</v>
      </c>
      <c r="I278" t="str">
        <f t="shared" si="36"/>
        <v>Normal</v>
      </c>
      <c r="J278">
        <v>1</v>
      </c>
      <c r="K278" t="str">
        <f t="shared" si="37"/>
        <v>Normal</v>
      </c>
      <c r="L278">
        <v>1899</v>
      </c>
      <c r="M278">
        <f t="shared" si="38"/>
        <v>1519.2</v>
      </c>
      <c r="N278" t="str">
        <f t="shared" si="39"/>
        <v>Mismatch</v>
      </c>
      <c r="O278" s="1">
        <v>44166</v>
      </c>
      <c r="P278">
        <v>20</v>
      </c>
      <c r="Q278" t="str">
        <f t="shared" si="40"/>
        <v>Invalid</v>
      </c>
      <c r="R278" t="s">
        <v>28</v>
      </c>
      <c r="S278" t="s">
        <v>29</v>
      </c>
      <c r="T278" t="s">
        <v>30</v>
      </c>
      <c r="U278" t="s">
        <v>31</v>
      </c>
      <c r="V278" t="s">
        <v>30</v>
      </c>
      <c r="W278" s="4">
        <v>45656</v>
      </c>
      <c r="X278" s="4" t="str">
        <f t="shared" si="41"/>
        <v>Invalid</v>
      </c>
      <c r="Y278" t="s">
        <v>32</v>
      </c>
      <c r="Z278" t="str">
        <f t="shared" si="42"/>
        <v>Valid</v>
      </c>
      <c r="AA278" t="s">
        <v>33</v>
      </c>
      <c r="AB278" t="s">
        <v>1141</v>
      </c>
      <c r="AC278" t="str">
        <f t="shared" si="43"/>
        <v>Not Applicable</v>
      </c>
      <c r="AE278" s="4" t="str">
        <f t="shared" si="44"/>
        <v>Not Applicable</v>
      </c>
      <c r="AF278" t="s">
        <v>34</v>
      </c>
    </row>
    <row r="279" spans="1:32" x14ac:dyDescent="0.3">
      <c r="A279" t="s">
        <v>214</v>
      </c>
      <c r="B279" s="4">
        <v>45575</v>
      </c>
      <c r="C279" t="s">
        <v>215</v>
      </c>
      <c r="D279" t="s">
        <v>25</v>
      </c>
      <c r="E279" t="s">
        <v>1277</v>
      </c>
      <c r="F279" t="s">
        <v>38</v>
      </c>
      <c r="G279" t="s">
        <v>216</v>
      </c>
      <c r="H279">
        <v>2299</v>
      </c>
      <c r="I279" t="str">
        <f t="shared" si="36"/>
        <v>Normal</v>
      </c>
      <c r="J279">
        <v>1</v>
      </c>
      <c r="K279" t="str">
        <f t="shared" si="37"/>
        <v>Normal</v>
      </c>
      <c r="L279">
        <v>2299</v>
      </c>
      <c r="M279">
        <f t="shared" si="38"/>
        <v>2299</v>
      </c>
      <c r="N279" t="str">
        <f t="shared" si="39"/>
        <v>Match</v>
      </c>
      <c r="O279" t="s">
        <v>1140</v>
      </c>
      <c r="P279">
        <v>0</v>
      </c>
      <c r="Q279" t="str">
        <f t="shared" si="40"/>
        <v>Invalid</v>
      </c>
      <c r="R279" t="s">
        <v>28</v>
      </c>
      <c r="S279" t="s">
        <v>61</v>
      </c>
      <c r="T279" t="s">
        <v>30</v>
      </c>
      <c r="U279" t="s">
        <v>31</v>
      </c>
      <c r="V279" t="s">
        <v>30</v>
      </c>
      <c r="W279" s="4">
        <v>45583</v>
      </c>
      <c r="X279" s="4" t="str">
        <f t="shared" si="41"/>
        <v>Invalid</v>
      </c>
      <c r="Y279" t="s">
        <v>32</v>
      </c>
      <c r="Z279" t="str">
        <f t="shared" si="42"/>
        <v>Valid</v>
      </c>
      <c r="AA279" t="s">
        <v>33</v>
      </c>
      <c r="AB279" t="s">
        <v>1141</v>
      </c>
      <c r="AC279" t="str">
        <f t="shared" si="43"/>
        <v>Not Applicable</v>
      </c>
      <c r="AE279" s="4" t="str">
        <f t="shared" si="44"/>
        <v>Not Applicable</v>
      </c>
      <c r="AF279" t="s">
        <v>34</v>
      </c>
    </row>
    <row r="280" spans="1:32" x14ac:dyDescent="0.3">
      <c r="A280" t="s">
        <v>607</v>
      </c>
      <c r="B280" s="4">
        <v>45609</v>
      </c>
      <c r="C280" t="s">
        <v>608</v>
      </c>
      <c r="D280" t="s">
        <v>25</v>
      </c>
      <c r="E280" t="s">
        <v>1316</v>
      </c>
      <c r="F280" t="s">
        <v>38</v>
      </c>
      <c r="G280" t="s">
        <v>609</v>
      </c>
      <c r="H280">
        <v>2699</v>
      </c>
      <c r="I280" t="str">
        <f t="shared" si="36"/>
        <v>Normal</v>
      </c>
      <c r="J280">
        <v>1</v>
      </c>
      <c r="K280" t="str">
        <f t="shared" si="37"/>
        <v>Normal</v>
      </c>
      <c r="L280">
        <v>2699</v>
      </c>
      <c r="M280">
        <f t="shared" si="38"/>
        <v>2699</v>
      </c>
      <c r="N280" t="str">
        <f t="shared" si="39"/>
        <v>Match</v>
      </c>
      <c r="O280" t="s">
        <v>1140</v>
      </c>
      <c r="P280">
        <v>0</v>
      </c>
      <c r="Q280" t="str">
        <f t="shared" si="40"/>
        <v>Invalid</v>
      </c>
      <c r="R280" t="s">
        <v>28</v>
      </c>
      <c r="S280" t="s">
        <v>29</v>
      </c>
      <c r="T280" t="s">
        <v>30</v>
      </c>
      <c r="U280" t="s">
        <v>31</v>
      </c>
      <c r="V280" t="s">
        <v>30</v>
      </c>
      <c r="W280" s="4">
        <v>45624</v>
      </c>
      <c r="X280" s="4" t="str">
        <f t="shared" si="41"/>
        <v>Invalid</v>
      </c>
      <c r="Y280" t="s">
        <v>32</v>
      </c>
      <c r="Z280" t="str">
        <f t="shared" si="42"/>
        <v>Valid</v>
      </c>
      <c r="AA280" t="s">
        <v>33</v>
      </c>
      <c r="AB280" t="s">
        <v>1141</v>
      </c>
      <c r="AC280" t="str">
        <f t="shared" si="43"/>
        <v>Not Applicable</v>
      </c>
      <c r="AE280" s="4" t="str">
        <f t="shared" si="44"/>
        <v>Not Applicable</v>
      </c>
      <c r="AF280" t="s">
        <v>34</v>
      </c>
    </row>
    <row r="281" spans="1:32" x14ac:dyDescent="0.3">
      <c r="A281" t="s">
        <v>829</v>
      </c>
      <c r="B281" s="4">
        <v>45630</v>
      </c>
      <c r="C281" t="s">
        <v>830</v>
      </c>
      <c r="D281" t="s">
        <v>25</v>
      </c>
      <c r="E281" t="s">
        <v>1462</v>
      </c>
      <c r="F281" t="s">
        <v>26</v>
      </c>
      <c r="G281" t="s">
        <v>831</v>
      </c>
      <c r="H281">
        <v>2299</v>
      </c>
      <c r="I281" t="str">
        <f t="shared" si="36"/>
        <v>Normal</v>
      </c>
      <c r="J281">
        <v>1</v>
      </c>
      <c r="K281" t="str">
        <f t="shared" si="37"/>
        <v>Normal</v>
      </c>
      <c r="L281">
        <v>2299</v>
      </c>
      <c r="M281">
        <f t="shared" si="38"/>
        <v>1839.2</v>
      </c>
      <c r="N281" t="str">
        <f t="shared" si="39"/>
        <v>Mismatch</v>
      </c>
      <c r="O281" s="1">
        <v>44166</v>
      </c>
      <c r="P281">
        <v>20</v>
      </c>
      <c r="Q281" t="str">
        <f t="shared" si="40"/>
        <v>Invalid</v>
      </c>
      <c r="R281" t="s">
        <v>28</v>
      </c>
      <c r="S281" t="s">
        <v>29</v>
      </c>
      <c r="T281" t="s">
        <v>30</v>
      </c>
      <c r="U281" t="s">
        <v>31</v>
      </c>
      <c r="V281" t="s">
        <v>30</v>
      </c>
      <c r="W281" s="4">
        <v>45639</v>
      </c>
      <c r="X281" s="4" t="str">
        <f t="shared" si="41"/>
        <v>Invalid</v>
      </c>
      <c r="Y281" t="s">
        <v>32</v>
      </c>
      <c r="Z281" t="str">
        <f t="shared" si="42"/>
        <v>Valid</v>
      </c>
      <c r="AA281" t="s">
        <v>33</v>
      </c>
      <c r="AB281" t="s">
        <v>1141</v>
      </c>
      <c r="AC281" t="str">
        <f t="shared" si="43"/>
        <v>Not Applicable</v>
      </c>
      <c r="AE281" s="4" t="str">
        <f t="shared" si="44"/>
        <v>Not Applicable</v>
      </c>
      <c r="AF281" t="s">
        <v>34</v>
      </c>
    </row>
    <row r="282" spans="1:32" x14ac:dyDescent="0.3">
      <c r="A282" t="s">
        <v>351</v>
      </c>
      <c r="B282" s="4">
        <v>45586</v>
      </c>
      <c r="C282" t="s">
        <v>352</v>
      </c>
      <c r="D282" t="s">
        <v>25</v>
      </c>
      <c r="E282" t="s">
        <v>1464</v>
      </c>
      <c r="F282" t="s">
        <v>26</v>
      </c>
      <c r="G282" t="s">
        <v>353</v>
      </c>
      <c r="H282">
        <v>1499</v>
      </c>
      <c r="I282" t="str">
        <f t="shared" si="36"/>
        <v>Normal</v>
      </c>
      <c r="J282">
        <v>1</v>
      </c>
      <c r="K282" t="str">
        <f t="shared" si="37"/>
        <v>Normal</v>
      </c>
      <c r="L282">
        <v>1499</v>
      </c>
      <c r="M282">
        <f t="shared" si="38"/>
        <v>1499</v>
      </c>
      <c r="N282" t="str">
        <f t="shared" si="39"/>
        <v>Match</v>
      </c>
      <c r="O282" t="s">
        <v>1140</v>
      </c>
      <c r="P282">
        <v>0</v>
      </c>
      <c r="Q282" t="str">
        <f t="shared" si="40"/>
        <v>Invalid</v>
      </c>
      <c r="R282" t="s">
        <v>28</v>
      </c>
      <c r="S282" t="s">
        <v>29</v>
      </c>
      <c r="T282" t="s">
        <v>30</v>
      </c>
      <c r="U282" t="s">
        <v>31</v>
      </c>
      <c r="V282" t="s">
        <v>30</v>
      </c>
      <c r="W282" s="4">
        <v>45598</v>
      </c>
      <c r="X282" s="4" t="str">
        <f t="shared" si="41"/>
        <v>Invalid</v>
      </c>
      <c r="Y282" t="s">
        <v>32</v>
      </c>
      <c r="Z282" t="str">
        <f t="shared" si="42"/>
        <v>Valid</v>
      </c>
      <c r="AA282" t="s">
        <v>33</v>
      </c>
      <c r="AB282" t="s">
        <v>1141</v>
      </c>
      <c r="AC282" t="str">
        <f t="shared" si="43"/>
        <v>Not Applicable</v>
      </c>
      <c r="AE282" s="4" t="str">
        <f t="shared" si="44"/>
        <v>Not Applicable</v>
      </c>
      <c r="AF282" t="s">
        <v>34</v>
      </c>
    </row>
    <row r="283" spans="1:32" x14ac:dyDescent="0.3">
      <c r="A283" t="s">
        <v>878</v>
      </c>
      <c r="B283" s="4">
        <v>45635</v>
      </c>
      <c r="C283" t="s">
        <v>879</v>
      </c>
      <c r="D283" t="s">
        <v>25</v>
      </c>
      <c r="E283" t="s">
        <v>1189</v>
      </c>
      <c r="F283" t="s">
        <v>66</v>
      </c>
      <c r="G283" t="s">
        <v>880</v>
      </c>
      <c r="H283">
        <v>899</v>
      </c>
      <c r="I283" t="str">
        <f t="shared" si="36"/>
        <v>Normal</v>
      </c>
      <c r="J283">
        <v>2</v>
      </c>
      <c r="K283" t="str">
        <f t="shared" si="37"/>
        <v>Normal</v>
      </c>
      <c r="L283">
        <v>1798</v>
      </c>
      <c r="M283">
        <f t="shared" si="38"/>
        <v>1438.4</v>
      </c>
      <c r="N283" t="str">
        <f t="shared" si="39"/>
        <v>Mismatch</v>
      </c>
      <c r="O283" s="1">
        <v>44166</v>
      </c>
      <c r="P283">
        <v>20</v>
      </c>
      <c r="Q283" t="str">
        <f t="shared" si="40"/>
        <v>Invalid</v>
      </c>
      <c r="R283" t="s">
        <v>100</v>
      </c>
      <c r="S283" t="s">
        <v>29</v>
      </c>
      <c r="T283" t="s">
        <v>30</v>
      </c>
      <c r="U283" t="s">
        <v>31</v>
      </c>
      <c r="V283" t="s">
        <v>30</v>
      </c>
      <c r="W283" s="4">
        <v>45649</v>
      </c>
      <c r="X283" s="4" t="str">
        <f t="shared" si="41"/>
        <v>Invalid</v>
      </c>
      <c r="Y283" t="s">
        <v>32</v>
      </c>
      <c r="Z283" t="str">
        <f t="shared" si="42"/>
        <v>Valid</v>
      </c>
      <c r="AA283" t="s">
        <v>33</v>
      </c>
      <c r="AB283" t="s">
        <v>1141</v>
      </c>
      <c r="AC283" t="str">
        <f t="shared" si="43"/>
        <v>Not Applicable</v>
      </c>
      <c r="AE283" s="4" t="str">
        <f t="shared" si="44"/>
        <v>Not Applicable</v>
      </c>
      <c r="AF283" t="s">
        <v>34</v>
      </c>
    </row>
    <row r="284" spans="1:32" x14ac:dyDescent="0.3">
      <c r="A284" t="s">
        <v>821</v>
      </c>
      <c r="B284" s="4">
        <v>45630</v>
      </c>
      <c r="C284" t="s">
        <v>822</v>
      </c>
      <c r="D284" t="s">
        <v>25</v>
      </c>
      <c r="E284" t="s">
        <v>1163</v>
      </c>
      <c r="F284" t="s">
        <v>66</v>
      </c>
      <c r="G284" t="s">
        <v>823</v>
      </c>
      <c r="H284">
        <v>499</v>
      </c>
      <c r="I284" t="str">
        <f t="shared" si="36"/>
        <v>Normal</v>
      </c>
      <c r="J284">
        <v>2</v>
      </c>
      <c r="K284" t="str">
        <f t="shared" si="37"/>
        <v>Normal</v>
      </c>
      <c r="L284">
        <v>998</v>
      </c>
      <c r="M284">
        <f t="shared" si="38"/>
        <v>798.40000000000009</v>
      </c>
      <c r="N284" t="str">
        <f t="shared" si="39"/>
        <v>Mismatch</v>
      </c>
      <c r="O284" s="1">
        <v>44166</v>
      </c>
      <c r="P284">
        <v>20</v>
      </c>
      <c r="Q284" t="str">
        <f t="shared" si="40"/>
        <v>Invalid</v>
      </c>
      <c r="R284" t="s">
        <v>52</v>
      </c>
      <c r="S284" t="s">
        <v>42</v>
      </c>
      <c r="T284" t="s">
        <v>824</v>
      </c>
      <c r="U284" t="s">
        <v>158</v>
      </c>
      <c r="V284" t="s">
        <v>53</v>
      </c>
      <c r="W284" s="4">
        <v>45639</v>
      </c>
      <c r="X284" s="4" t="str">
        <f t="shared" si="41"/>
        <v>Invalid</v>
      </c>
      <c r="Y284" t="s">
        <v>32</v>
      </c>
      <c r="Z284" t="str">
        <f t="shared" si="42"/>
        <v>Valid</v>
      </c>
      <c r="AA284" t="s">
        <v>33</v>
      </c>
      <c r="AB284" t="s">
        <v>1141</v>
      </c>
      <c r="AC284" t="str">
        <f t="shared" si="43"/>
        <v>Not Applicable</v>
      </c>
      <c r="AE284" s="4" t="str">
        <f t="shared" si="44"/>
        <v>Not Applicable</v>
      </c>
      <c r="AF284" t="s">
        <v>34</v>
      </c>
    </row>
    <row r="285" spans="1:32" x14ac:dyDescent="0.3">
      <c r="A285" t="s">
        <v>920</v>
      </c>
      <c r="B285" s="4">
        <v>45638</v>
      </c>
      <c r="C285" t="s">
        <v>921</v>
      </c>
      <c r="D285" t="s">
        <v>37</v>
      </c>
      <c r="E285" t="s">
        <v>1366</v>
      </c>
      <c r="F285" t="s">
        <v>57</v>
      </c>
      <c r="G285" t="s">
        <v>922</v>
      </c>
      <c r="H285">
        <v>6299</v>
      </c>
      <c r="I285" t="str">
        <f t="shared" si="36"/>
        <v>Normal</v>
      </c>
      <c r="J285">
        <v>1</v>
      </c>
      <c r="K285" t="str">
        <f t="shared" si="37"/>
        <v>Normal</v>
      </c>
      <c r="L285">
        <v>6299</v>
      </c>
      <c r="M285">
        <f t="shared" si="38"/>
        <v>6299</v>
      </c>
      <c r="N285" t="str">
        <f t="shared" si="39"/>
        <v>Match</v>
      </c>
      <c r="O285" s="1" t="s">
        <v>1140</v>
      </c>
      <c r="P285">
        <v>0</v>
      </c>
      <c r="Q285" t="str">
        <f t="shared" si="40"/>
        <v>Invalid</v>
      </c>
      <c r="R285" t="s">
        <v>52</v>
      </c>
      <c r="S285" t="s">
        <v>61</v>
      </c>
      <c r="T285" t="s">
        <v>171</v>
      </c>
      <c r="U285" t="s">
        <v>54</v>
      </c>
      <c r="V285" t="s">
        <v>53</v>
      </c>
      <c r="X285" s="4" t="str">
        <f t="shared" si="41"/>
        <v>Not applicable</v>
      </c>
      <c r="Y285" t="s">
        <v>32</v>
      </c>
      <c r="Z285" t="str">
        <f t="shared" si="42"/>
        <v>Valid</v>
      </c>
      <c r="AA285" t="s">
        <v>33</v>
      </c>
      <c r="AB285" t="s">
        <v>1141</v>
      </c>
      <c r="AC285" t="str">
        <f t="shared" si="43"/>
        <v>Not Applicable</v>
      </c>
      <c r="AE285" s="4" t="str">
        <f t="shared" si="44"/>
        <v>Not Applicable</v>
      </c>
      <c r="AF285" t="s">
        <v>34</v>
      </c>
    </row>
    <row r="286" spans="1:32" x14ac:dyDescent="0.3">
      <c r="A286" t="s">
        <v>256</v>
      </c>
      <c r="B286" s="4">
        <v>45578</v>
      </c>
      <c r="C286" t="s">
        <v>257</v>
      </c>
      <c r="D286" t="s">
        <v>25</v>
      </c>
      <c r="E286" t="s">
        <v>1273</v>
      </c>
      <c r="F286" t="s">
        <v>50</v>
      </c>
      <c r="G286" t="s">
        <v>258</v>
      </c>
      <c r="H286">
        <v>2099</v>
      </c>
      <c r="I286" t="str">
        <f t="shared" si="36"/>
        <v>Normal</v>
      </c>
      <c r="J286">
        <v>1</v>
      </c>
      <c r="K286" t="str">
        <f t="shared" si="37"/>
        <v>Normal</v>
      </c>
      <c r="L286">
        <v>2099</v>
      </c>
      <c r="M286">
        <f t="shared" si="38"/>
        <v>1679.2</v>
      </c>
      <c r="N286" t="str">
        <f t="shared" si="39"/>
        <v>Mismatch</v>
      </c>
      <c r="O286" t="s">
        <v>40</v>
      </c>
      <c r="P286">
        <v>20</v>
      </c>
      <c r="Q286" t="str">
        <f t="shared" si="40"/>
        <v>Invalid</v>
      </c>
      <c r="R286" t="s">
        <v>41</v>
      </c>
      <c r="S286" t="s">
        <v>29</v>
      </c>
      <c r="T286" t="s">
        <v>171</v>
      </c>
      <c r="U286" t="s">
        <v>54</v>
      </c>
      <c r="V286" t="s">
        <v>53</v>
      </c>
      <c r="W286" s="4">
        <v>45589</v>
      </c>
      <c r="X286" s="4" t="str">
        <f t="shared" si="41"/>
        <v>Invalid</v>
      </c>
      <c r="Y286" t="s">
        <v>32</v>
      </c>
      <c r="Z286" t="str">
        <f t="shared" si="42"/>
        <v>Valid</v>
      </c>
      <c r="AA286" t="s">
        <v>33</v>
      </c>
      <c r="AB286" t="s">
        <v>1141</v>
      </c>
      <c r="AC286" t="str">
        <f t="shared" si="43"/>
        <v>Not Applicable</v>
      </c>
      <c r="AE286" s="4" t="str">
        <f t="shared" si="44"/>
        <v>Not Applicable</v>
      </c>
      <c r="AF286" t="s">
        <v>34</v>
      </c>
    </row>
    <row r="287" spans="1:32" x14ac:dyDescent="0.3">
      <c r="A287" t="s">
        <v>595</v>
      </c>
      <c r="B287" s="4">
        <v>45607</v>
      </c>
      <c r="C287" t="s">
        <v>596</v>
      </c>
      <c r="D287" t="s">
        <v>37</v>
      </c>
      <c r="E287" t="s">
        <v>1228</v>
      </c>
      <c r="F287" t="s">
        <v>50</v>
      </c>
      <c r="G287" t="s">
        <v>597</v>
      </c>
      <c r="H287">
        <v>2199</v>
      </c>
      <c r="I287" t="str">
        <f t="shared" si="36"/>
        <v>Normal</v>
      </c>
      <c r="J287">
        <v>1</v>
      </c>
      <c r="K287" t="str">
        <f t="shared" si="37"/>
        <v>Normal</v>
      </c>
      <c r="L287">
        <v>2199</v>
      </c>
      <c r="M287">
        <f t="shared" si="38"/>
        <v>2199</v>
      </c>
      <c r="N287" t="str">
        <f t="shared" si="39"/>
        <v>Match</v>
      </c>
      <c r="O287" t="s">
        <v>1140</v>
      </c>
      <c r="P287">
        <v>0</v>
      </c>
      <c r="Q287" t="str">
        <f t="shared" si="40"/>
        <v>Invalid</v>
      </c>
      <c r="R287" t="s">
        <v>28</v>
      </c>
      <c r="S287" t="s">
        <v>61</v>
      </c>
      <c r="T287" t="s">
        <v>171</v>
      </c>
      <c r="U287" t="s">
        <v>54</v>
      </c>
      <c r="V287" t="s">
        <v>53</v>
      </c>
      <c r="W287" s="4">
        <v>45620</v>
      </c>
      <c r="X287" s="4" t="str">
        <f t="shared" si="41"/>
        <v>Invalid</v>
      </c>
      <c r="Y287" t="s">
        <v>32</v>
      </c>
      <c r="Z287" t="str">
        <f t="shared" si="42"/>
        <v>Valid</v>
      </c>
      <c r="AA287" t="s">
        <v>33</v>
      </c>
      <c r="AB287" t="s">
        <v>1141</v>
      </c>
      <c r="AC287" t="str">
        <f t="shared" si="43"/>
        <v>Not Applicable</v>
      </c>
      <c r="AE287" s="4" t="str">
        <f t="shared" si="44"/>
        <v>Not Applicable</v>
      </c>
      <c r="AF287" t="s">
        <v>34</v>
      </c>
    </row>
    <row r="288" spans="1:32" x14ac:dyDescent="0.3">
      <c r="A288" t="s">
        <v>664</v>
      </c>
      <c r="B288" s="4">
        <v>45615</v>
      </c>
      <c r="C288" t="s">
        <v>665</v>
      </c>
      <c r="D288" t="s">
        <v>25</v>
      </c>
      <c r="E288" t="s">
        <v>1470</v>
      </c>
      <c r="F288" t="s">
        <v>26</v>
      </c>
      <c r="G288" t="s">
        <v>666</v>
      </c>
      <c r="H288">
        <v>1799</v>
      </c>
      <c r="I288" t="str">
        <f t="shared" si="36"/>
        <v>Normal</v>
      </c>
      <c r="J288">
        <v>1</v>
      </c>
      <c r="K288" t="str">
        <f t="shared" si="37"/>
        <v>Normal</v>
      </c>
      <c r="L288">
        <v>1799</v>
      </c>
      <c r="M288">
        <f t="shared" si="38"/>
        <v>1799</v>
      </c>
      <c r="N288" t="str">
        <f t="shared" si="39"/>
        <v>Match</v>
      </c>
      <c r="O288" t="s">
        <v>1140</v>
      </c>
      <c r="P288">
        <v>0</v>
      </c>
      <c r="Q288" t="str">
        <f t="shared" si="40"/>
        <v>Invalid</v>
      </c>
      <c r="R288" t="s">
        <v>52</v>
      </c>
      <c r="S288" t="s">
        <v>42</v>
      </c>
      <c r="T288" t="s">
        <v>149</v>
      </c>
      <c r="U288" t="s">
        <v>31</v>
      </c>
      <c r="V288" t="s">
        <v>30</v>
      </c>
      <c r="X288" s="4" t="str">
        <f t="shared" si="41"/>
        <v>Not applicable</v>
      </c>
      <c r="Y288" t="s">
        <v>32</v>
      </c>
      <c r="Z288" t="str">
        <f t="shared" si="42"/>
        <v>Valid</v>
      </c>
      <c r="AA288" t="s">
        <v>33</v>
      </c>
      <c r="AB288" t="s">
        <v>1141</v>
      </c>
      <c r="AC288" t="str">
        <f t="shared" si="43"/>
        <v>Not Applicable</v>
      </c>
      <c r="AE288" s="4" t="str">
        <f t="shared" si="44"/>
        <v>Not Applicable</v>
      </c>
      <c r="AF288" t="s">
        <v>34</v>
      </c>
    </row>
    <row r="289" spans="1:32" x14ac:dyDescent="0.3">
      <c r="A289" t="s">
        <v>989</v>
      </c>
      <c r="B289" s="4">
        <v>45644</v>
      </c>
      <c r="C289" t="s">
        <v>990</v>
      </c>
      <c r="D289" t="s">
        <v>25</v>
      </c>
      <c r="E289" t="s">
        <v>1321</v>
      </c>
      <c r="F289" t="s">
        <v>38</v>
      </c>
      <c r="G289" t="s">
        <v>991</v>
      </c>
      <c r="H289">
        <v>3599</v>
      </c>
      <c r="I289" t="str">
        <f t="shared" si="36"/>
        <v>Normal</v>
      </c>
      <c r="J289">
        <v>1</v>
      </c>
      <c r="K289" t="str">
        <f t="shared" si="37"/>
        <v>Normal</v>
      </c>
      <c r="L289">
        <v>3599</v>
      </c>
      <c r="M289">
        <f t="shared" si="38"/>
        <v>3599</v>
      </c>
      <c r="N289" t="str">
        <f t="shared" si="39"/>
        <v>Match</v>
      </c>
      <c r="O289" s="1" t="s">
        <v>1140</v>
      </c>
      <c r="P289">
        <v>0</v>
      </c>
      <c r="Q289" t="str">
        <f t="shared" si="40"/>
        <v>Invalid</v>
      </c>
      <c r="R289" t="s">
        <v>41</v>
      </c>
      <c r="S289" t="s">
        <v>42</v>
      </c>
      <c r="T289" t="s">
        <v>149</v>
      </c>
      <c r="U289" t="s">
        <v>31</v>
      </c>
      <c r="V289" t="s">
        <v>30</v>
      </c>
      <c r="W289" s="4">
        <v>45665</v>
      </c>
      <c r="X289" s="4" t="str">
        <f t="shared" si="41"/>
        <v>Invalid</v>
      </c>
      <c r="Y289" t="s">
        <v>32</v>
      </c>
      <c r="Z289" t="str">
        <f t="shared" si="42"/>
        <v>Valid</v>
      </c>
      <c r="AA289" t="s">
        <v>33</v>
      </c>
      <c r="AB289" t="s">
        <v>1141</v>
      </c>
      <c r="AC289" t="str">
        <f t="shared" si="43"/>
        <v>Not Applicable</v>
      </c>
      <c r="AE289" s="4" t="str">
        <f t="shared" si="44"/>
        <v>Not Applicable</v>
      </c>
      <c r="AF289" t="s">
        <v>34</v>
      </c>
    </row>
    <row r="290" spans="1:32" x14ac:dyDescent="0.3">
      <c r="A290" t="s">
        <v>496</v>
      </c>
      <c r="B290" s="4">
        <v>45597</v>
      </c>
      <c r="C290" t="s">
        <v>497</v>
      </c>
      <c r="D290" t="s">
        <v>25</v>
      </c>
      <c r="E290" t="s">
        <v>1174</v>
      </c>
      <c r="F290" t="s">
        <v>66</v>
      </c>
      <c r="G290" t="s">
        <v>498</v>
      </c>
      <c r="H290">
        <v>999</v>
      </c>
      <c r="I290" t="str">
        <f t="shared" si="36"/>
        <v>Normal</v>
      </c>
      <c r="J290">
        <v>2</v>
      </c>
      <c r="K290" t="str">
        <f t="shared" si="37"/>
        <v>Normal</v>
      </c>
      <c r="L290">
        <v>1998</v>
      </c>
      <c r="M290">
        <f t="shared" si="38"/>
        <v>1198.8</v>
      </c>
      <c r="N290" t="str">
        <f t="shared" si="39"/>
        <v>Mismatch</v>
      </c>
      <c r="O290" t="s">
        <v>425</v>
      </c>
      <c r="P290">
        <v>40</v>
      </c>
      <c r="Q290" t="str">
        <f t="shared" si="40"/>
        <v>Invalid</v>
      </c>
      <c r="R290" t="s">
        <v>60</v>
      </c>
      <c r="S290" t="s">
        <v>61</v>
      </c>
      <c r="T290" t="s">
        <v>149</v>
      </c>
      <c r="U290" t="s">
        <v>31</v>
      </c>
      <c r="V290" t="s">
        <v>30</v>
      </c>
      <c r="W290" s="4">
        <v>45607</v>
      </c>
      <c r="X290" s="4" t="str">
        <f t="shared" si="41"/>
        <v>Invalid</v>
      </c>
      <c r="Y290" t="s">
        <v>32</v>
      </c>
      <c r="Z290" t="str">
        <f t="shared" si="42"/>
        <v>Valid</v>
      </c>
      <c r="AA290" t="s">
        <v>33</v>
      </c>
      <c r="AB290" t="s">
        <v>1141</v>
      </c>
      <c r="AC290" t="str">
        <f t="shared" si="43"/>
        <v>Not Applicable</v>
      </c>
      <c r="AE290" s="4" t="str">
        <f t="shared" si="44"/>
        <v>Not Applicable</v>
      </c>
      <c r="AF290" t="s">
        <v>34</v>
      </c>
    </row>
    <row r="291" spans="1:32" x14ac:dyDescent="0.3">
      <c r="A291" t="s">
        <v>407</v>
      </c>
      <c r="B291" s="4">
        <v>45591</v>
      </c>
      <c r="C291" t="s">
        <v>408</v>
      </c>
      <c r="D291" t="s">
        <v>37</v>
      </c>
      <c r="E291" t="s">
        <v>1296</v>
      </c>
      <c r="F291" t="s">
        <v>38</v>
      </c>
      <c r="G291" t="s">
        <v>409</v>
      </c>
      <c r="H291">
        <v>2499</v>
      </c>
      <c r="I291" t="str">
        <f t="shared" si="36"/>
        <v>Normal</v>
      </c>
      <c r="J291">
        <v>1</v>
      </c>
      <c r="K291" t="str">
        <f t="shared" si="37"/>
        <v>Normal</v>
      </c>
      <c r="L291">
        <v>2499</v>
      </c>
      <c r="M291">
        <f t="shared" si="38"/>
        <v>2499</v>
      </c>
      <c r="N291" t="str">
        <f t="shared" si="39"/>
        <v>Match</v>
      </c>
      <c r="O291" t="s">
        <v>1140</v>
      </c>
      <c r="P291">
        <v>0</v>
      </c>
      <c r="Q291" t="str">
        <f t="shared" si="40"/>
        <v>Invalid</v>
      </c>
      <c r="R291" t="s">
        <v>60</v>
      </c>
      <c r="S291" t="s">
        <v>61</v>
      </c>
      <c r="T291" t="s">
        <v>149</v>
      </c>
      <c r="U291" t="s">
        <v>31</v>
      </c>
      <c r="V291" t="s">
        <v>30</v>
      </c>
      <c r="W291" s="4">
        <v>45604</v>
      </c>
      <c r="X291" s="4" t="str">
        <f t="shared" si="41"/>
        <v>Invalid</v>
      </c>
      <c r="Y291" t="s">
        <v>32</v>
      </c>
      <c r="Z291" t="str">
        <f t="shared" si="42"/>
        <v>Valid</v>
      </c>
      <c r="AA291" t="s">
        <v>33</v>
      </c>
      <c r="AB291" t="s">
        <v>1141</v>
      </c>
      <c r="AC291" t="str">
        <f t="shared" si="43"/>
        <v>Not Applicable</v>
      </c>
      <c r="AE291" s="4" t="str">
        <f t="shared" si="44"/>
        <v>Not Applicable</v>
      </c>
      <c r="AF291" t="s">
        <v>34</v>
      </c>
    </row>
    <row r="292" spans="1:32" x14ac:dyDescent="0.3">
      <c r="A292" t="s">
        <v>325</v>
      </c>
      <c r="B292" s="4">
        <v>45584</v>
      </c>
      <c r="C292" t="s">
        <v>326</v>
      </c>
      <c r="D292" t="s">
        <v>37</v>
      </c>
      <c r="E292" t="s">
        <v>1400</v>
      </c>
      <c r="F292" t="s">
        <v>57</v>
      </c>
      <c r="G292" t="s">
        <v>327</v>
      </c>
      <c r="H292">
        <v>4999</v>
      </c>
      <c r="I292" t="str">
        <f t="shared" si="36"/>
        <v>Normal</v>
      </c>
      <c r="J292">
        <v>1</v>
      </c>
      <c r="K292" t="str">
        <f t="shared" si="37"/>
        <v>Normal</v>
      </c>
      <c r="L292">
        <v>4999</v>
      </c>
      <c r="M292">
        <f t="shared" si="38"/>
        <v>4999</v>
      </c>
      <c r="N292" t="str">
        <f t="shared" si="39"/>
        <v>Match</v>
      </c>
      <c r="O292" t="s">
        <v>1140</v>
      </c>
      <c r="P292">
        <v>0</v>
      </c>
      <c r="Q292" t="str">
        <f t="shared" si="40"/>
        <v>Invalid</v>
      </c>
      <c r="R292" t="s">
        <v>28</v>
      </c>
      <c r="S292" t="s">
        <v>29</v>
      </c>
      <c r="T292" t="s">
        <v>149</v>
      </c>
      <c r="U292" t="s">
        <v>31</v>
      </c>
      <c r="V292" t="s">
        <v>30</v>
      </c>
      <c r="W292" s="4">
        <v>45597</v>
      </c>
      <c r="X292" s="4" t="str">
        <f t="shared" si="41"/>
        <v>Invalid</v>
      </c>
      <c r="Y292" t="s">
        <v>32</v>
      </c>
      <c r="Z292" t="str">
        <f t="shared" si="42"/>
        <v>Valid</v>
      </c>
      <c r="AA292" t="s">
        <v>33</v>
      </c>
      <c r="AB292" t="s">
        <v>1141</v>
      </c>
      <c r="AC292" t="str">
        <f t="shared" si="43"/>
        <v>Not Applicable</v>
      </c>
      <c r="AE292" s="4" t="str">
        <f t="shared" si="44"/>
        <v>Not Applicable</v>
      </c>
      <c r="AF292" t="s">
        <v>34</v>
      </c>
    </row>
    <row r="293" spans="1:32" x14ac:dyDescent="0.3">
      <c r="A293" t="s">
        <v>1073</v>
      </c>
      <c r="B293" s="4">
        <v>45651</v>
      </c>
      <c r="C293" t="s">
        <v>1074</v>
      </c>
      <c r="D293" t="s">
        <v>37</v>
      </c>
      <c r="E293" t="s">
        <v>1166</v>
      </c>
      <c r="F293" t="s">
        <v>66</v>
      </c>
      <c r="G293" t="s">
        <v>1075</v>
      </c>
      <c r="H293">
        <v>1399</v>
      </c>
      <c r="I293" t="str">
        <f t="shared" si="36"/>
        <v>Normal</v>
      </c>
      <c r="J293">
        <v>1</v>
      </c>
      <c r="K293" t="str">
        <f t="shared" si="37"/>
        <v>Normal</v>
      </c>
      <c r="L293">
        <v>1399</v>
      </c>
      <c r="M293">
        <f t="shared" si="38"/>
        <v>1399</v>
      </c>
      <c r="N293" t="str">
        <f t="shared" si="39"/>
        <v>Match</v>
      </c>
      <c r="O293" s="1" t="s">
        <v>1140</v>
      </c>
      <c r="P293">
        <v>0</v>
      </c>
      <c r="Q293" t="str">
        <f t="shared" si="40"/>
        <v>Invalid</v>
      </c>
      <c r="R293" t="s">
        <v>100</v>
      </c>
      <c r="S293" t="s">
        <v>61</v>
      </c>
      <c r="T293" t="s">
        <v>149</v>
      </c>
      <c r="U293" t="s">
        <v>31</v>
      </c>
      <c r="V293" t="s">
        <v>30</v>
      </c>
      <c r="W293" s="4">
        <v>45675</v>
      </c>
      <c r="X293" s="4" t="str">
        <f t="shared" si="41"/>
        <v>Invalid</v>
      </c>
      <c r="Y293" t="s">
        <v>32</v>
      </c>
      <c r="Z293" t="str">
        <f t="shared" si="42"/>
        <v>Valid</v>
      </c>
      <c r="AA293" t="s">
        <v>33</v>
      </c>
      <c r="AB293" t="s">
        <v>1141</v>
      </c>
      <c r="AC293" t="str">
        <f t="shared" si="43"/>
        <v>Not Applicable</v>
      </c>
      <c r="AE293" s="4" t="str">
        <f t="shared" si="44"/>
        <v>Not Applicable</v>
      </c>
      <c r="AF293" t="s">
        <v>34</v>
      </c>
    </row>
    <row r="294" spans="1:32" x14ac:dyDescent="0.3">
      <c r="A294" t="s">
        <v>580</v>
      </c>
      <c r="B294" s="4">
        <v>45606</v>
      </c>
      <c r="C294" t="s">
        <v>581</v>
      </c>
      <c r="D294" t="s">
        <v>37</v>
      </c>
      <c r="E294" t="s">
        <v>1220</v>
      </c>
      <c r="F294" t="s">
        <v>50</v>
      </c>
      <c r="G294" t="s">
        <v>582</v>
      </c>
      <c r="H294">
        <v>1799</v>
      </c>
      <c r="I294" t="str">
        <f t="shared" si="36"/>
        <v>Normal</v>
      </c>
      <c r="J294">
        <v>1</v>
      </c>
      <c r="K294" t="str">
        <f t="shared" si="37"/>
        <v>Normal</v>
      </c>
      <c r="L294">
        <v>1799</v>
      </c>
      <c r="M294">
        <f t="shared" si="38"/>
        <v>1799</v>
      </c>
      <c r="N294" t="str">
        <f t="shared" si="39"/>
        <v>Match</v>
      </c>
      <c r="O294" t="s">
        <v>1140</v>
      </c>
      <c r="P294">
        <v>0</v>
      </c>
      <c r="Q294" t="str">
        <f t="shared" si="40"/>
        <v>Invalid</v>
      </c>
      <c r="R294" t="s">
        <v>100</v>
      </c>
      <c r="S294" t="s">
        <v>29</v>
      </c>
      <c r="T294" t="s">
        <v>149</v>
      </c>
      <c r="U294" t="s">
        <v>31</v>
      </c>
      <c r="V294" t="s">
        <v>30</v>
      </c>
      <c r="W294" s="4">
        <v>45618</v>
      </c>
      <c r="X294" s="4" t="str">
        <f t="shared" si="41"/>
        <v>Invalid</v>
      </c>
      <c r="Y294" t="s">
        <v>32</v>
      </c>
      <c r="Z294" t="str">
        <f t="shared" si="42"/>
        <v>Valid</v>
      </c>
      <c r="AA294" t="s">
        <v>33</v>
      </c>
      <c r="AB294" t="s">
        <v>1141</v>
      </c>
      <c r="AC294" t="str">
        <f t="shared" si="43"/>
        <v>Not Applicable</v>
      </c>
      <c r="AE294" s="4" t="str">
        <f t="shared" si="44"/>
        <v>Not Applicable</v>
      </c>
      <c r="AF294" t="s">
        <v>34</v>
      </c>
    </row>
    <row r="295" spans="1:32" x14ac:dyDescent="0.3">
      <c r="A295" t="s">
        <v>241</v>
      </c>
      <c r="B295" s="4">
        <v>45577</v>
      </c>
      <c r="C295" t="s">
        <v>242</v>
      </c>
      <c r="D295" t="s">
        <v>37</v>
      </c>
      <c r="E295" t="s">
        <v>1241</v>
      </c>
      <c r="F295" t="s">
        <v>50</v>
      </c>
      <c r="G295" t="s">
        <v>243</v>
      </c>
      <c r="H295">
        <v>999</v>
      </c>
      <c r="I295" t="str">
        <f t="shared" si="36"/>
        <v>Normal</v>
      </c>
      <c r="J295">
        <v>2</v>
      </c>
      <c r="K295" t="str">
        <f t="shared" si="37"/>
        <v>Normal</v>
      </c>
      <c r="L295">
        <v>1998</v>
      </c>
      <c r="M295">
        <f t="shared" si="38"/>
        <v>1998</v>
      </c>
      <c r="N295" t="str">
        <f t="shared" si="39"/>
        <v>Match</v>
      </c>
      <c r="O295" t="s">
        <v>1140</v>
      </c>
      <c r="P295">
        <v>0</v>
      </c>
      <c r="Q295" t="str">
        <f t="shared" si="40"/>
        <v>Invalid</v>
      </c>
      <c r="R295" t="s">
        <v>100</v>
      </c>
      <c r="S295" t="s">
        <v>42</v>
      </c>
      <c r="T295" t="s">
        <v>149</v>
      </c>
      <c r="U295" t="s">
        <v>31</v>
      </c>
      <c r="V295" t="s">
        <v>30</v>
      </c>
      <c r="W295" s="4">
        <v>45584</v>
      </c>
      <c r="X295" s="4" t="str">
        <f t="shared" si="41"/>
        <v>Invalid</v>
      </c>
      <c r="Y295" t="s">
        <v>32</v>
      </c>
      <c r="Z295" t="str">
        <f t="shared" si="42"/>
        <v>Valid</v>
      </c>
      <c r="AA295" t="s">
        <v>33</v>
      </c>
      <c r="AB295" t="s">
        <v>1141</v>
      </c>
      <c r="AC295" t="str">
        <f t="shared" si="43"/>
        <v>Not Applicable</v>
      </c>
      <c r="AE295" s="4" t="str">
        <f t="shared" si="44"/>
        <v>Not Applicable</v>
      </c>
      <c r="AF295" t="s">
        <v>34</v>
      </c>
    </row>
    <row r="296" spans="1:32" x14ac:dyDescent="0.3">
      <c r="A296" t="s">
        <v>646</v>
      </c>
      <c r="B296" s="4">
        <v>45613</v>
      </c>
      <c r="C296" t="s">
        <v>647</v>
      </c>
      <c r="D296" t="s">
        <v>25</v>
      </c>
      <c r="E296" t="s">
        <v>1200</v>
      </c>
      <c r="F296" t="s">
        <v>66</v>
      </c>
      <c r="G296" t="s">
        <v>648</v>
      </c>
      <c r="H296">
        <v>1299</v>
      </c>
      <c r="I296" t="str">
        <f t="shared" si="36"/>
        <v>Normal</v>
      </c>
      <c r="J296">
        <v>1</v>
      </c>
      <c r="K296" t="str">
        <f t="shared" si="37"/>
        <v>Normal</v>
      </c>
      <c r="L296">
        <v>1299</v>
      </c>
      <c r="M296">
        <f t="shared" si="38"/>
        <v>1104.1499999999999</v>
      </c>
      <c r="N296" t="str">
        <f t="shared" si="39"/>
        <v>Mismatch</v>
      </c>
      <c r="O296" s="1">
        <v>42309</v>
      </c>
      <c r="P296">
        <v>15</v>
      </c>
      <c r="Q296" t="str">
        <f t="shared" si="40"/>
        <v>Invalid</v>
      </c>
      <c r="R296" t="s">
        <v>52</v>
      </c>
      <c r="S296" t="s">
        <v>42</v>
      </c>
      <c r="T296" t="s">
        <v>121</v>
      </c>
      <c r="U296" t="s">
        <v>102</v>
      </c>
      <c r="V296" t="s">
        <v>43</v>
      </c>
      <c r="W296" s="4">
        <v>45626</v>
      </c>
      <c r="X296" s="4" t="str">
        <f t="shared" si="41"/>
        <v>Invalid</v>
      </c>
      <c r="Y296" t="s">
        <v>32</v>
      </c>
      <c r="Z296" t="str">
        <f t="shared" si="42"/>
        <v>Valid</v>
      </c>
      <c r="AA296" t="s">
        <v>33</v>
      </c>
      <c r="AB296" t="s">
        <v>1141</v>
      </c>
      <c r="AC296" t="str">
        <f t="shared" si="43"/>
        <v>Not Applicable</v>
      </c>
      <c r="AE296" s="4" t="str">
        <f t="shared" si="44"/>
        <v>Not Applicable</v>
      </c>
      <c r="AF296" t="s">
        <v>34</v>
      </c>
    </row>
    <row r="297" spans="1:32" x14ac:dyDescent="0.3">
      <c r="A297" t="s">
        <v>887</v>
      </c>
      <c r="B297" s="4">
        <v>45636</v>
      </c>
      <c r="C297" t="s">
        <v>888</v>
      </c>
      <c r="D297" t="s">
        <v>25</v>
      </c>
      <c r="E297" t="s">
        <v>1232</v>
      </c>
      <c r="F297" t="s">
        <v>50</v>
      </c>
      <c r="G297" t="s">
        <v>889</v>
      </c>
      <c r="H297">
        <v>2499</v>
      </c>
      <c r="I297" t="str">
        <f t="shared" si="36"/>
        <v>Normal</v>
      </c>
      <c r="J297">
        <v>1</v>
      </c>
      <c r="K297" t="str">
        <f t="shared" si="37"/>
        <v>Normal</v>
      </c>
      <c r="L297">
        <v>2499</v>
      </c>
      <c r="M297">
        <f t="shared" si="38"/>
        <v>1999.2</v>
      </c>
      <c r="N297" t="str">
        <f t="shared" si="39"/>
        <v>Mismatch</v>
      </c>
      <c r="O297" s="1">
        <v>44166</v>
      </c>
      <c r="P297">
        <v>20</v>
      </c>
      <c r="Q297" t="str">
        <f t="shared" si="40"/>
        <v>Invalid</v>
      </c>
      <c r="R297" t="s">
        <v>28</v>
      </c>
      <c r="S297" t="s">
        <v>29</v>
      </c>
      <c r="T297" t="s">
        <v>121</v>
      </c>
      <c r="U297" t="s">
        <v>102</v>
      </c>
      <c r="V297" t="s">
        <v>43</v>
      </c>
      <c r="W297" s="4">
        <v>45651</v>
      </c>
      <c r="X297" s="4" t="str">
        <f t="shared" si="41"/>
        <v>Invalid</v>
      </c>
      <c r="Y297" t="s">
        <v>32</v>
      </c>
      <c r="Z297" t="str">
        <f t="shared" si="42"/>
        <v>Valid</v>
      </c>
      <c r="AA297" t="s">
        <v>33</v>
      </c>
      <c r="AB297" t="s">
        <v>1141</v>
      </c>
      <c r="AC297" t="str">
        <f t="shared" si="43"/>
        <v>Not Applicable</v>
      </c>
      <c r="AE297" s="4" t="str">
        <f t="shared" si="44"/>
        <v>Not Applicable</v>
      </c>
      <c r="AF297" t="s">
        <v>34</v>
      </c>
    </row>
    <row r="298" spans="1:32" x14ac:dyDescent="0.3">
      <c r="A298" t="s">
        <v>562</v>
      </c>
      <c r="B298" s="4">
        <v>45604</v>
      </c>
      <c r="C298" t="s">
        <v>563</v>
      </c>
      <c r="D298" t="s">
        <v>25</v>
      </c>
      <c r="E298" t="s">
        <v>1279</v>
      </c>
      <c r="F298" t="s">
        <v>38</v>
      </c>
      <c r="G298" t="s">
        <v>564</v>
      </c>
      <c r="H298">
        <v>2599</v>
      </c>
      <c r="I298" t="str">
        <f t="shared" si="36"/>
        <v>Normal</v>
      </c>
      <c r="J298">
        <v>1</v>
      </c>
      <c r="K298" t="str">
        <f t="shared" si="37"/>
        <v>Normal</v>
      </c>
      <c r="L298">
        <v>2599</v>
      </c>
      <c r="M298">
        <f t="shared" si="38"/>
        <v>2599</v>
      </c>
      <c r="N298" t="str">
        <f t="shared" si="39"/>
        <v>Match</v>
      </c>
      <c r="O298" t="s">
        <v>1140</v>
      </c>
      <c r="P298">
        <v>0</v>
      </c>
      <c r="Q298" t="str">
        <f t="shared" si="40"/>
        <v>Invalid</v>
      </c>
      <c r="R298" t="s">
        <v>100</v>
      </c>
      <c r="S298" t="s">
        <v>29</v>
      </c>
      <c r="T298" t="s">
        <v>121</v>
      </c>
      <c r="U298" t="s">
        <v>102</v>
      </c>
      <c r="V298" t="s">
        <v>43</v>
      </c>
      <c r="W298" s="4">
        <v>45618</v>
      </c>
      <c r="X298" s="4" t="str">
        <f t="shared" si="41"/>
        <v>Invalid</v>
      </c>
      <c r="Y298" t="s">
        <v>32</v>
      </c>
      <c r="Z298" t="str">
        <f t="shared" si="42"/>
        <v>Valid</v>
      </c>
      <c r="AA298" t="s">
        <v>33</v>
      </c>
      <c r="AB298" t="s">
        <v>1141</v>
      </c>
      <c r="AC298" t="str">
        <f t="shared" si="43"/>
        <v>Not Applicable</v>
      </c>
      <c r="AE298" s="4" t="str">
        <f t="shared" si="44"/>
        <v>Not Applicable</v>
      </c>
      <c r="AF298" t="s">
        <v>34</v>
      </c>
    </row>
    <row r="299" spans="1:32" x14ac:dyDescent="0.3">
      <c r="A299" t="s">
        <v>307</v>
      </c>
      <c r="B299" s="4">
        <v>45583</v>
      </c>
      <c r="C299" t="s">
        <v>308</v>
      </c>
      <c r="D299" t="s">
        <v>25</v>
      </c>
      <c r="E299" t="s">
        <v>1421</v>
      </c>
      <c r="F299" t="s">
        <v>26</v>
      </c>
      <c r="G299" t="s">
        <v>309</v>
      </c>
      <c r="H299">
        <v>1199</v>
      </c>
      <c r="I299" t="str">
        <f t="shared" si="36"/>
        <v>Normal</v>
      </c>
      <c r="J299">
        <v>2</v>
      </c>
      <c r="K299" t="str">
        <f t="shared" si="37"/>
        <v>Normal</v>
      </c>
      <c r="L299">
        <v>2398</v>
      </c>
      <c r="M299">
        <f t="shared" si="38"/>
        <v>2398</v>
      </c>
      <c r="N299" t="str">
        <f t="shared" si="39"/>
        <v>Match</v>
      </c>
      <c r="O299" t="s">
        <v>1140</v>
      </c>
      <c r="P299">
        <v>0</v>
      </c>
      <c r="Q299" t="str">
        <f t="shared" si="40"/>
        <v>Invalid</v>
      </c>
      <c r="R299" t="s">
        <v>100</v>
      </c>
      <c r="S299" t="s">
        <v>29</v>
      </c>
      <c r="T299" t="s">
        <v>121</v>
      </c>
      <c r="U299" t="s">
        <v>102</v>
      </c>
      <c r="V299" t="s">
        <v>43</v>
      </c>
      <c r="W299" s="4">
        <v>45593</v>
      </c>
      <c r="X299" s="4" t="str">
        <f t="shared" si="41"/>
        <v>Invalid</v>
      </c>
      <c r="Y299" t="s">
        <v>32</v>
      </c>
      <c r="Z299" t="str">
        <f t="shared" si="42"/>
        <v>Valid</v>
      </c>
      <c r="AA299" t="s">
        <v>33</v>
      </c>
      <c r="AB299" t="s">
        <v>1141</v>
      </c>
      <c r="AC299" t="str">
        <f t="shared" si="43"/>
        <v>Not Applicable</v>
      </c>
      <c r="AE299" s="4" t="str">
        <f t="shared" si="44"/>
        <v>Not Applicable</v>
      </c>
      <c r="AF299" t="s">
        <v>34</v>
      </c>
    </row>
    <row r="300" spans="1:32" x14ac:dyDescent="0.3">
      <c r="A300" t="s">
        <v>817</v>
      </c>
      <c r="B300" s="4">
        <v>45630</v>
      </c>
      <c r="C300" t="s">
        <v>818</v>
      </c>
      <c r="D300" t="s">
        <v>37</v>
      </c>
      <c r="E300" t="s">
        <v>1471</v>
      </c>
      <c r="F300" t="s">
        <v>26</v>
      </c>
      <c r="G300" t="s">
        <v>819</v>
      </c>
      <c r="H300">
        <v>1999</v>
      </c>
      <c r="I300" t="str">
        <f t="shared" si="36"/>
        <v>Normal</v>
      </c>
      <c r="J300">
        <v>1</v>
      </c>
      <c r="K300" t="str">
        <f t="shared" si="37"/>
        <v>Normal</v>
      </c>
      <c r="L300">
        <v>1999</v>
      </c>
      <c r="M300">
        <f t="shared" si="38"/>
        <v>1999</v>
      </c>
      <c r="N300" t="str">
        <f t="shared" si="39"/>
        <v>Match</v>
      </c>
      <c r="O300" t="s">
        <v>1140</v>
      </c>
      <c r="P300">
        <v>0</v>
      </c>
      <c r="Q300" t="str">
        <f t="shared" si="40"/>
        <v>Invalid</v>
      </c>
      <c r="R300" t="s">
        <v>41</v>
      </c>
      <c r="S300" t="s">
        <v>29</v>
      </c>
      <c r="T300" t="s">
        <v>820</v>
      </c>
      <c r="U300" t="s">
        <v>63</v>
      </c>
      <c r="V300" t="s">
        <v>53</v>
      </c>
      <c r="W300" s="4">
        <v>45639</v>
      </c>
      <c r="X300" s="4" t="str">
        <f t="shared" si="41"/>
        <v>Invalid</v>
      </c>
      <c r="Y300" t="s">
        <v>32</v>
      </c>
      <c r="Z300" t="str">
        <f t="shared" si="42"/>
        <v>Valid</v>
      </c>
      <c r="AA300" t="s">
        <v>33</v>
      </c>
      <c r="AB300" t="s">
        <v>1141</v>
      </c>
      <c r="AC300" t="str">
        <f t="shared" si="43"/>
        <v>Not Applicable</v>
      </c>
      <c r="AE300" s="4" t="str">
        <f t="shared" si="44"/>
        <v>Not Applicable</v>
      </c>
      <c r="AF300" t="s">
        <v>34</v>
      </c>
    </row>
    <row r="301" spans="1:32" x14ac:dyDescent="0.3">
      <c r="A301" t="s">
        <v>401</v>
      </c>
      <c r="B301" s="4">
        <v>45591</v>
      </c>
      <c r="C301" t="s">
        <v>402</v>
      </c>
      <c r="D301" t="s">
        <v>25</v>
      </c>
      <c r="E301" t="s">
        <v>1194</v>
      </c>
      <c r="F301" t="s">
        <v>66</v>
      </c>
      <c r="G301" t="s">
        <v>403</v>
      </c>
      <c r="H301">
        <v>1799</v>
      </c>
      <c r="I301" t="str">
        <f t="shared" si="36"/>
        <v>Normal</v>
      </c>
      <c r="J301">
        <v>1</v>
      </c>
      <c r="K301" t="str">
        <f t="shared" si="37"/>
        <v>Normal</v>
      </c>
      <c r="L301">
        <v>1799</v>
      </c>
      <c r="M301">
        <f t="shared" si="38"/>
        <v>1439.2</v>
      </c>
      <c r="N301" t="str">
        <f t="shared" si="39"/>
        <v>Mismatch</v>
      </c>
      <c r="O301" t="s">
        <v>40</v>
      </c>
      <c r="P301">
        <v>20</v>
      </c>
      <c r="Q301" t="str">
        <f t="shared" si="40"/>
        <v>Invalid</v>
      </c>
      <c r="R301" t="s">
        <v>52</v>
      </c>
      <c r="S301" t="s">
        <v>42</v>
      </c>
      <c r="T301" t="s">
        <v>140</v>
      </c>
      <c r="U301" t="s">
        <v>141</v>
      </c>
      <c r="V301" t="s">
        <v>43</v>
      </c>
      <c r="X301" s="4" t="str">
        <f t="shared" si="41"/>
        <v>Not applicable</v>
      </c>
      <c r="Y301" t="s">
        <v>32</v>
      </c>
      <c r="Z301" t="str">
        <f t="shared" si="42"/>
        <v>Valid</v>
      </c>
      <c r="AA301" t="s">
        <v>33</v>
      </c>
      <c r="AB301" t="s">
        <v>1141</v>
      </c>
      <c r="AC301" t="str">
        <f t="shared" si="43"/>
        <v>Not Applicable</v>
      </c>
      <c r="AE301" s="4" t="str">
        <f t="shared" si="44"/>
        <v>Not Applicable</v>
      </c>
      <c r="AF301" t="s">
        <v>34</v>
      </c>
    </row>
    <row r="302" spans="1:32" x14ac:dyDescent="0.3">
      <c r="A302" t="s">
        <v>137</v>
      </c>
      <c r="B302" s="4">
        <v>45570</v>
      </c>
      <c r="C302" t="s">
        <v>138</v>
      </c>
      <c r="D302" t="s">
        <v>25</v>
      </c>
      <c r="E302" t="s">
        <v>1401</v>
      </c>
      <c r="F302" t="s">
        <v>57</v>
      </c>
      <c r="G302" t="s">
        <v>139</v>
      </c>
      <c r="H302">
        <v>3999</v>
      </c>
      <c r="I302" t="str">
        <f t="shared" si="36"/>
        <v>Normal</v>
      </c>
      <c r="J302">
        <v>1</v>
      </c>
      <c r="K302" t="str">
        <f t="shared" si="37"/>
        <v>Normal</v>
      </c>
      <c r="L302">
        <v>3999</v>
      </c>
      <c r="M302">
        <f t="shared" si="38"/>
        <v>3199.2000000000003</v>
      </c>
      <c r="N302" t="str">
        <f t="shared" si="39"/>
        <v>Mismatch</v>
      </c>
      <c r="O302" t="s">
        <v>40</v>
      </c>
      <c r="P302">
        <v>20</v>
      </c>
      <c r="Q302" t="str">
        <f t="shared" si="40"/>
        <v>Invalid</v>
      </c>
      <c r="R302" t="s">
        <v>52</v>
      </c>
      <c r="S302" t="s">
        <v>29</v>
      </c>
      <c r="T302" t="s">
        <v>140</v>
      </c>
      <c r="U302" t="s">
        <v>141</v>
      </c>
      <c r="V302" t="s">
        <v>43</v>
      </c>
      <c r="X302" s="4" t="str">
        <f t="shared" si="41"/>
        <v>Not applicable</v>
      </c>
      <c r="Y302" t="s">
        <v>32</v>
      </c>
      <c r="Z302" t="str">
        <f t="shared" si="42"/>
        <v>Valid</v>
      </c>
      <c r="AA302" t="s">
        <v>33</v>
      </c>
      <c r="AB302" t="s">
        <v>1141</v>
      </c>
      <c r="AC302" t="str">
        <f t="shared" si="43"/>
        <v>Not Applicable</v>
      </c>
      <c r="AE302" s="4" t="str">
        <f t="shared" si="44"/>
        <v>Not Applicable</v>
      </c>
      <c r="AF302" t="s">
        <v>34</v>
      </c>
    </row>
    <row r="303" spans="1:32" x14ac:dyDescent="0.3">
      <c r="A303" t="s">
        <v>574</v>
      </c>
      <c r="B303" s="4">
        <v>45605</v>
      </c>
      <c r="C303" t="s">
        <v>575</v>
      </c>
      <c r="D303" t="s">
        <v>25</v>
      </c>
      <c r="E303" t="s">
        <v>1451</v>
      </c>
      <c r="F303" t="s">
        <v>26</v>
      </c>
      <c r="G303" t="s">
        <v>576</v>
      </c>
      <c r="H303">
        <v>2099</v>
      </c>
      <c r="I303" t="str">
        <f t="shared" si="36"/>
        <v>Normal</v>
      </c>
      <c r="J303">
        <v>1</v>
      </c>
      <c r="K303" t="str">
        <f t="shared" si="37"/>
        <v>Normal</v>
      </c>
      <c r="L303">
        <v>2099</v>
      </c>
      <c r="M303">
        <f t="shared" si="38"/>
        <v>2099</v>
      </c>
      <c r="N303" t="str">
        <f t="shared" si="39"/>
        <v>Match</v>
      </c>
      <c r="O303" t="s">
        <v>1140</v>
      </c>
      <c r="P303">
        <v>0</v>
      </c>
      <c r="Q303" t="str">
        <f t="shared" si="40"/>
        <v>Invalid</v>
      </c>
      <c r="R303" t="s">
        <v>52</v>
      </c>
      <c r="S303" t="s">
        <v>42</v>
      </c>
      <c r="T303" t="s">
        <v>140</v>
      </c>
      <c r="U303" t="s">
        <v>141</v>
      </c>
      <c r="V303" t="s">
        <v>43</v>
      </c>
      <c r="X303" s="4" t="str">
        <f t="shared" si="41"/>
        <v>Not applicable</v>
      </c>
      <c r="Y303" t="s">
        <v>32</v>
      </c>
      <c r="Z303" t="str">
        <f t="shared" si="42"/>
        <v>Valid</v>
      </c>
      <c r="AA303" t="s">
        <v>33</v>
      </c>
      <c r="AB303" t="s">
        <v>1141</v>
      </c>
      <c r="AC303" t="str">
        <f t="shared" si="43"/>
        <v>Not Applicable</v>
      </c>
      <c r="AE303" s="4" t="str">
        <f t="shared" si="44"/>
        <v>Not Applicable</v>
      </c>
      <c r="AF303" t="s">
        <v>34</v>
      </c>
    </row>
    <row r="304" spans="1:32" x14ac:dyDescent="0.3">
      <c r="A304" t="s">
        <v>899</v>
      </c>
      <c r="B304" s="4">
        <v>45637</v>
      </c>
      <c r="C304" t="s">
        <v>900</v>
      </c>
      <c r="D304" t="s">
        <v>25</v>
      </c>
      <c r="E304" t="s">
        <v>1288</v>
      </c>
      <c r="F304" t="s">
        <v>38</v>
      </c>
      <c r="G304" t="s">
        <v>901</v>
      </c>
      <c r="H304">
        <v>3599</v>
      </c>
      <c r="I304" t="str">
        <f t="shared" si="36"/>
        <v>Normal</v>
      </c>
      <c r="J304">
        <v>1</v>
      </c>
      <c r="K304" t="str">
        <f t="shared" si="37"/>
        <v>Normal</v>
      </c>
      <c r="L304">
        <v>3599</v>
      </c>
      <c r="M304">
        <f t="shared" si="38"/>
        <v>3599</v>
      </c>
      <c r="N304" t="str">
        <f t="shared" si="39"/>
        <v>Match</v>
      </c>
      <c r="O304" s="1" t="s">
        <v>1140</v>
      </c>
      <c r="P304">
        <v>0</v>
      </c>
      <c r="Q304" t="str">
        <f t="shared" si="40"/>
        <v>Invalid</v>
      </c>
      <c r="R304" t="s">
        <v>41</v>
      </c>
      <c r="S304" t="s">
        <v>42</v>
      </c>
      <c r="T304" t="s">
        <v>140</v>
      </c>
      <c r="U304" t="s">
        <v>141</v>
      </c>
      <c r="V304" t="s">
        <v>43</v>
      </c>
      <c r="W304" s="4">
        <v>45653</v>
      </c>
      <c r="X304" s="4" t="str">
        <f t="shared" si="41"/>
        <v>Invalid</v>
      </c>
      <c r="Y304" t="s">
        <v>32</v>
      </c>
      <c r="Z304" t="str">
        <f t="shared" si="42"/>
        <v>Valid</v>
      </c>
      <c r="AA304" t="s">
        <v>33</v>
      </c>
      <c r="AB304" t="s">
        <v>1141</v>
      </c>
      <c r="AC304" t="str">
        <f t="shared" si="43"/>
        <v>Not Applicable</v>
      </c>
      <c r="AE304" s="4" t="str">
        <f t="shared" si="44"/>
        <v>Not Applicable</v>
      </c>
      <c r="AF304" t="s">
        <v>34</v>
      </c>
    </row>
    <row r="305" spans="1:32" x14ac:dyDescent="0.3">
      <c r="A305" t="s">
        <v>319</v>
      </c>
      <c r="B305" s="4">
        <v>45584</v>
      </c>
      <c r="C305" t="s">
        <v>320</v>
      </c>
      <c r="D305" t="s">
        <v>25</v>
      </c>
      <c r="E305" t="s">
        <v>1328</v>
      </c>
      <c r="F305" t="s">
        <v>38</v>
      </c>
      <c r="G305" t="s">
        <v>321</v>
      </c>
      <c r="H305">
        <v>2199</v>
      </c>
      <c r="I305" t="str">
        <f t="shared" si="36"/>
        <v>Normal</v>
      </c>
      <c r="J305">
        <v>1</v>
      </c>
      <c r="K305" t="str">
        <f t="shared" si="37"/>
        <v>Normal</v>
      </c>
      <c r="L305">
        <v>2199</v>
      </c>
      <c r="M305">
        <f t="shared" si="38"/>
        <v>2199</v>
      </c>
      <c r="N305" t="str">
        <f t="shared" si="39"/>
        <v>Match</v>
      </c>
      <c r="O305" t="s">
        <v>1140</v>
      </c>
      <c r="P305">
        <v>0</v>
      </c>
      <c r="Q305" t="str">
        <f t="shared" si="40"/>
        <v>Invalid</v>
      </c>
      <c r="R305" t="s">
        <v>41</v>
      </c>
      <c r="S305" t="s">
        <v>61</v>
      </c>
      <c r="T305" t="s">
        <v>140</v>
      </c>
      <c r="U305" t="s">
        <v>141</v>
      </c>
      <c r="V305" t="s">
        <v>43</v>
      </c>
      <c r="W305" s="4">
        <v>45596</v>
      </c>
      <c r="X305" s="4" t="str">
        <f t="shared" si="41"/>
        <v>Invalid</v>
      </c>
      <c r="Y305" t="s">
        <v>32</v>
      </c>
      <c r="Z305" t="str">
        <f t="shared" si="42"/>
        <v>Valid</v>
      </c>
      <c r="AA305" t="s">
        <v>33</v>
      </c>
      <c r="AB305" t="s">
        <v>1141</v>
      </c>
      <c r="AC305" t="str">
        <f t="shared" si="43"/>
        <v>Not Applicable</v>
      </c>
      <c r="AE305" s="4" t="str">
        <f t="shared" si="44"/>
        <v>Not Applicable</v>
      </c>
      <c r="AF305" t="s">
        <v>34</v>
      </c>
    </row>
    <row r="306" spans="1:32" x14ac:dyDescent="0.3">
      <c r="A306" t="s">
        <v>490</v>
      </c>
      <c r="B306" s="4">
        <v>45597</v>
      </c>
      <c r="C306" t="s">
        <v>491</v>
      </c>
      <c r="D306" t="s">
        <v>25</v>
      </c>
      <c r="E306" t="s">
        <v>1209</v>
      </c>
      <c r="F306" t="s">
        <v>50</v>
      </c>
      <c r="G306" t="s">
        <v>492</v>
      </c>
      <c r="H306">
        <v>2999</v>
      </c>
      <c r="I306" t="str">
        <f t="shared" si="36"/>
        <v>Normal</v>
      </c>
      <c r="J306">
        <v>1</v>
      </c>
      <c r="K306" t="str">
        <f t="shared" si="37"/>
        <v>Normal</v>
      </c>
      <c r="L306">
        <v>2999</v>
      </c>
      <c r="M306">
        <f t="shared" si="38"/>
        <v>1799.3999999999999</v>
      </c>
      <c r="N306" t="str">
        <f t="shared" si="39"/>
        <v>Mismatch</v>
      </c>
      <c r="O306" t="s">
        <v>425</v>
      </c>
      <c r="P306">
        <v>40</v>
      </c>
      <c r="Q306" t="str">
        <f t="shared" si="40"/>
        <v>Invalid</v>
      </c>
      <c r="R306" t="s">
        <v>28</v>
      </c>
      <c r="S306" t="s">
        <v>29</v>
      </c>
      <c r="T306" t="s">
        <v>140</v>
      </c>
      <c r="U306" t="s">
        <v>141</v>
      </c>
      <c r="V306" t="s">
        <v>43</v>
      </c>
      <c r="W306" s="4">
        <v>45607</v>
      </c>
      <c r="X306" s="4" t="str">
        <f t="shared" si="41"/>
        <v>Invalid</v>
      </c>
      <c r="Y306" t="s">
        <v>32</v>
      </c>
      <c r="Z306" t="str">
        <f t="shared" si="42"/>
        <v>Valid</v>
      </c>
      <c r="AA306" t="s">
        <v>33</v>
      </c>
      <c r="AB306" t="s">
        <v>1141</v>
      </c>
      <c r="AC306" t="str">
        <f t="shared" si="43"/>
        <v>Not Applicable</v>
      </c>
      <c r="AE306" s="4" t="str">
        <f t="shared" si="44"/>
        <v>Not Applicable</v>
      </c>
      <c r="AF306" t="s">
        <v>34</v>
      </c>
    </row>
    <row r="307" spans="1:32" x14ac:dyDescent="0.3">
      <c r="A307" t="s">
        <v>1067</v>
      </c>
      <c r="B307" s="4">
        <v>45651</v>
      </c>
      <c r="C307" t="s">
        <v>1068</v>
      </c>
      <c r="D307" t="s">
        <v>25</v>
      </c>
      <c r="E307" t="s">
        <v>1245</v>
      </c>
      <c r="F307" t="s">
        <v>50</v>
      </c>
      <c r="G307" t="s">
        <v>1069</v>
      </c>
      <c r="H307">
        <v>1899</v>
      </c>
      <c r="I307" t="str">
        <f t="shared" si="36"/>
        <v>Normal</v>
      </c>
      <c r="J307">
        <v>1</v>
      </c>
      <c r="K307" t="str">
        <f t="shared" si="37"/>
        <v>Normal</v>
      </c>
      <c r="L307">
        <v>1899</v>
      </c>
      <c r="M307">
        <f t="shared" si="38"/>
        <v>1519.2</v>
      </c>
      <c r="N307" t="str">
        <f t="shared" si="39"/>
        <v>Mismatch</v>
      </c>
      <c r="O307" s="1">
        <v>44166</v>
      </c>
      <c r="P307">
        <v>20</v>
      </c>
      <c r="Q307" t="str">
        <f t="shared" si="40"/>
        <v>Invalid</v>
      </c>
      <c r="R307" t="s">
        <v>28</v>
      </c>
      <c r="S307" t="s">
        <v>29</v>
      </c>
      <c r="T307" t="s">
        <v>140</v>
      </c>
      <c r="U307" t="s">
        <v>141</v>
      </c>
      <c r="V307" t="s">
        <v>43</v>
      </c>
      <c r="W307" s="4">
        <v>45675</v>
      </c>
      <c r="X307" s="4" t="str">
        <f t="shared" si="41"/>
        <v>Invalid</v>
      </c>
      <c r="Y307" t="s">
        <v>32</v>
      </c>
      <c r="Z307" t="str">
        <f t="shared" si="42"/>
        <v>Valid</v>
      </c>
      <c r="AA307" t="s">
        <v>33</v>
      </c>
      <c r="AB307" t="s">
        <v>1141</v>
      </c>
      <c r="AC307" t="str">
        <f t="shared" si="43"/>
        <v>Not Applicable</v>
      </c>
      <c r="AE307" s="4" t="str">
        <f t="shared" si="44"/>
        <v>Not Applicable</v>
      </c>
      <c r="AF307" t="s">
        <v>34</v>
      </c>
    </row>
    <row r="308" spans="1:32" x14ac:dyDescent="0.3">
      <c r="A308" t="s">
        <v>983</v>
      </c>
      <c r="B308" s="4">
        <v>45644</v>
      </c>
      <c r="C308" t="s">
        <v>984</v>
      </c>
      <c r="D308" t="s">
        <v>37</v>
      </c>
      <c r="E308" t="s">
        <v>1168</v>
      </c>
      <c r="F308" t="s">
        <v>66</v>
      </c>
      <c r="G308" t="s">
        <v>985</v>
      </c>
      <c r="H308">
        <v>699</v>
      </c>
      <c r="I308" t="str">
        <f t="shared" si="36"/>
        <v>Normal</v>
      </c>
      <c r="J308">
        <v>2</v>
      </c>
      <c r="K308" t="str">
        <f t="shared" si="37"/>
        <v>Normal</v>
      </c>
      <c r="L308">
        <v>1398</v>
      </c>
      <c r="M308">
        <f t="shared" si="38"/>
        <v>1398</v>
      </c>
      <c r="N308" t="str">
        <f t="shared" si="39"/>
        <v>Match</v>
      </c>
      <c r="O308" s="1" t="s">
        <v>1140</v>
      </c>
      <c r="P308">
        <v>0</v>
      </c>
      <c r="Q308" t="str">
        <f t="shared" si="40"/>
        <v>Invalid</v>
      </c>
      <c r="R308" t="s">
        <v>100</v>
      </c>
      <c r="S308" t="s">
        <v>61</v>
      </c>
      <c r="T308" t="s">
        <v>140</v>
      </c>
      <c r="U308" t="s">
        <v>141</v>
      </c>
      <c r="V308" t="s">
        <v>43</v>
      </c>
      <c r="W308" s="4">
        <v>45663</v>
      </c>
      <c r="X308" s="4" t="str">
        <f t="shared" si="41"/>
        <v>Invalid</v>
      </c>
      <c r="Y308" t="s">
        <v>32</v>
      </c>
      <c r="Z308" t="str">
        <f t="shared" si="42"/>
        <v>Valid</v>
      </c>
      <c r="AA308" t="s">
        <v>33</v>
      </c>
      <c r="AB308" t="s">
        <v>1141</v>
      </c>
      <c r="AC308" t="str">
        <f t="shared" si="43"/>
        <v>Not Applicable</v>
      </c>
      <c r="AE308" s="4" t="str">
        <f t="shared" si="44"/>
        <v>Not Applicable</v>
      </c>
      <c r="AF308" t="s">
        <v>34</v>
      </c>
    </row>
    <row r="309" spans="1:32" x14ac:dyDescent="0.3">
      <c r="A309" t="s">
        <v>742</v>
      </c>
      <c r="B309" s="4">
        <v>45624</v>
      </c>
      <c r="C309" t="s">
        <v>743</v>
      </c>
      <c r="D309" t="s">
        <v>25</v>
      </c>
      <c r="E309" t="s">
        <v>1333</v>
      </c>
      <c r="F309" t="s">
        <v>38</v>
      </c>
      <c r="G309" t="s">
        <v>744</v>
      </c>
      <c r="H309">
        <v>2599</v>
      </c>
      <c r="I309" t="str">
        <f t="shared" si="36"/>
        <v>Normal</v>
      </c>
      <c r="J309">
        <v>1</v>
      </c>
      <c r="K309" t="str">
        <f t="shared" si="37"/>
        <v>Normal</v>
      </c>
      <c r="L309">
        <v>2599</v>
      </c>
      <c r="M309">
        <f t="shared" si="38"/>
        <v>2209.15</v>
      </c>
      <c r="N309" t="str">
        <f t="shared" si="39"/>
        <v>Mismatch</v>
      </c>
      <c r="O309" s="1">
        <v>42309</v>
      </c>
      <c r="P309">
        <v>15</v>
      </c>
      <c r="Q309" t="str">
        <f t="shared" si="40"/>
        <v>Invalid</v>
      </c>
      <c r="R309" t="s">
        <v>100</v>
      </c>
      <c r="S309" t="s">
        <v>29</v>
      </c>
      <c r="T309" t="s">
        <v>140</v>
      </c>
      <c r="U309" t="s">
        <v>141</v>
      </c>
      <c r="V309" t="s">
        <v>43</v>
      </c>
      <c r="W309" s="4">
        <v>45641</v>
      </c>
      <c r="X309" s="4" t="str">
        <f t="shared" si="41"/>
        <v>Invalid</v>
      </c>
      <c r="Y309" t="s">
        <v>32</v>
      </c>
      <c r="Z309" t="str">
        <f t="shared" si="42"/>
        <v>Valid</v>
      </c>
      <c r="AA309" t="s">
        <v>33</v>
      </c>
      <c r="AB309" t="s">
        <v>1141</v>
      </c>
      <c r="AC309" t="str">
        <f t="shared" si="43"/>
        <v>Not Applicable</v>
      </c>
      <c r="AE309" s="4" t="str">
        <f t="shared" si="44"/>
        <v>Not Applicable</v>
      </c>
      <c r="AF309" t="s">
        <v>34</v>
      </c>
    </row>
    <row r="310" spans="1:32" x14ac:dyDescent="0.3">
      <c r="A310" t="s">
        <v>74</v>
      </c>
      <c r="B310" s="4">
        <v>45567</v>
      </c>
      <c r="C310" t="s">
        <v>75</v>
      </c>
      <c r="D310" t="s">
        <v>25</v>
      </c>
      <c r="E310" t="s">
        <v>1284</v>
      </c>
      <c r="F310" t="s">
        <v>38</v>
      </c>
      <c r="G310" t="s">
        <v>76</v>
      </c>
      <c r="H310">
        <v>2199</v>
      </c>
      <c r="I310" t="str">
        <f t="shared" si="36"/>
        <v>Normal</v>
      </c>
      <c r="J310">
        <v>1</v>
      </c>
      <c r="K310" t="str">
        <f t="shared" si="37"/>
        <v>Normal</v>
      </c>
      <c r="L310">
        <v>2199</v>
      </c>
      <c r="M310">
        <f t="shared" si="38"/>
        <v>1759.2</v>
      </c>
      <c r="N310" t="str">
        <f t="shared" si="39"/>
        <v>Mismatch</v>
      </c>
      <c r="O310" t="s">
        <v>40</v>
      </c>
      <c r="P310">
        <v>20</v>
      </c>
      <c r="Q310" t="str">
        <f t="shared" si="40"/>
        <v>Invalid</v>
      </c>
      <c r="R310" t="s">
        <v>52</v>
      </c>
      <c r="S310" t="s">
        <v>29</v>
      </c>
      <c r="T310" t="s">
        <v>77</v>
      </c>
      <c r="U310" t="s">
        <v>31</v>
      </c>
      <c r="V310" t="s">
        <v>30</v>
      </c>
      <c r="X310" s="4" t="str">
        <f t="shared" si="41"/>
        <v>Not applicable</v>
      </c>
      <c r="Y310" t="s">
        <v>32</v>
      </c>
      <c r="Z310" t="str">
        <f t="shared" si="42"/>
        <v>Valid</v>
      </c>
      <c r="AA310" t="s">
        <v>33</v>
      </c>
      <c r="AB310" t="s">
        <v>1141</v>
      </c>
      <c r="AC310" t="str">
        <f t="shared" si="43"/>
        <v>Not Applicable</v>
      </c>
      <c r="AE310" s="4" t="str">
        <f t="shared" si="44"/>
        <v>Not Applicable</v>
      </c>
      <c r="AF310" t="s">
        <v>34</v>
      </c>
    </row>
    <row r="311" spans="1:32" x14ac:dyDescent="0.3">
      <c r="A311" t="s">
        <v>1031</v>
      </c>
      <c r="B311" s="4">
        <v>45648</v>
      </c>
      <c r="C311" t="s">
        <v>1032</v>
      </c>
      <c r="D311" t="s">
        <v>25</v>
      </c>
      <c r="E311" t="s">
        <v>1475</v>
      </c>
      <c r="F311" t="s">
        <v>26</v>
      </c>
      <c r="G311" t="s">
        <v>1033</v>
      </c>
      <c r="H311">
        <v>1999</v>
      </c>
      <c r="I311" t="str">
        <f t="shared" si="36"/>
        <v>Normal</v>
      </c>
      <c r="J311">
        <v>1</v>
      </c>
      <c r="K311" t="str">
        <f t="shared" si="37"/>
        <v>Normal</v>
      </c>
      <c r="L311">
        <v>1999</v>
      </c>
      <c r="M311">
        <f t="shared" si="38"/>
        <v>1599.2</v>
      </c>
      <c r="N311" t="str">
        <f t="shared" si="39"/>
        <v>Mismatch</v>
      </c>
      <c r="O311" s="1">
        <v>44166</v>
      </c>
      <c r="P311">
        <v>20</v>
      </c>
      <c r="Q311" t="str">
        <f t="shared" si="40"/>
        <v>Invalid</v>
      </c>
      <c r="R311" t="s">
        <v>60</v>
      </c>
      <c r="S311" t="s">
        <v>29</v>
      </c>
      <c r="T311" t="s">
        <v>77</v>
      </c>
      <c r="U311" t="s">
        <v>31</v>
      </c>
      <c r="V311" t="s">
        <v>30</v>
      </c>
      <c r="W311" s="4">
        <v>45670</v>
      </c>
      <c r="X311" s="4" t="str">
        <f t="shared" si="41"/>
        <v>Invalid</v>
      </c>
      <c r="Y311" t="s">
        <v>32</v>
      </c>
      <c r="Z311" t="str">
        <f t="shared" si="42"/>
        <v>Valid</v>
      </c>
      <c r="AA311" t="s">
        <v>33</v>
      </c>
      <c r="AB311" t="s">
        <v>1141</v>
      </c>
      <c r="AC311" t="str">
        <f t="shared" si="43"/>
        <v>Not Applicable</v>
      </c>
      <c r="AE311" s="4" t="str">
        <f t="shared" si="44"/>
        <v>Not Applicable</v>
      </c>
      <c r="AF311" t="s">
        <v>34</v>
      </c>
    </row>
    <row r="312" spans="1:32" x14ac:dyDescent="0.3">
      <c r="A312" t="s">
        <v>947</v>
      </c>
      <c r="B312" s="4">
        <v>45641</v>
      </c>
      <c r="C312" t="s">
        <v>948</v>
      </c>
      <c r="D312" t="s">
        <v>25</v>
      </c>
      <c r="E312" t="s">
        <v>1227</v>
      </c>
      <c r="F312" t="s">
        <v>50</v>
      </c>
      <c r="G312" t="s">
        <v>949</v>
      </c>
      <c r="H312">
        <v>2299</v>
      </c>
      <c r="I312" t="str">
        <f t="shared" si="36"/>
        <v>Normal</v>
      </c>
      <c r="J312">
        <v>1</v>
      </c>
      <c r="K312" t="str">
        <f t="shared" si="37"/>
        <v>Normal</v>
      </c>
      <c r="L312">
        <v>2299</v>
      </c>
      <c r="M312">
        <f t="shared" si="38"/>
        <v>2299</v>
      </c>
      <c r="N312" t="str">
        <f t="shared" si="39"/>
        <v>Match</v>
      </c>
      <c r="O312" s="1" t="s">
        <v>1140</v>
      </c>
      <c r="P312">
        <v>0</v>
      </c>
      <c r="Q312" t="str">
        <f t="shared" si="40"/>
        <v>Invalid</v>
      </c>
      <c r="R312" t="s">
        <v>28</v>
      </c>
      <c r="S312" t="s">
        <v>61</v>
      </c>
      <c r="T312" t="s">
        <v>77</v>
      </c>
      <c r="U312" t="s">
        <v>31</v>
      </c>
      <c r="V312" t="s">
        <v>30</v>
      </c>
      <c r="W312" s="4">
        <v>45659</v>
      </c>
      <c r="X312" s="4" t="str">
        <f t="shared" si="41"/>
        <v>Invalid</v>
      </c>
      <c r="Y312" t="s">
        <v>32</v>
      </c>
      <c r="Z312" t="str">
        <f t="shared" si="42"/>
        <v>Valid</v>
      </c>
      <c r="AA312" t="s">
        <v>33</v>
      </c>
      <c r="AB312" t="s">
        <v>1141</v>
      </c>
      <c r="AC312" t="str">
        <f t="shared" si="43"/>
        <v>Not Applicable</v>
      </c>
      <c r="AE312" s="4" t="str">
        <f t="shared" si="44"/>
        <v>Not Applicable</v>
      </c>
      <c r="AF312" t="s">
        <v>34</v>
      </c>
    </row>
    <row r="313" spans="1:32" x14ac:dyDescent="0.3">
      <c r="A313" t="s">
        <v>706</v>
      </c>
      <c r="B313" s="4">
        <v>45620</v>
      </c>
      <c r="C313" t="s">
        <v>707</v>
      </c>
      <c r="D313" t="s">
        <v>25</v>
      </c>
      <c r="E313" t="s">
        <v>1160</v>
      </c>
      <c r="F313" t="s">
        <v>66</v>
      </c>
      <c r="G313" t="s">
        <v>708</v>
      </c>
      <c r="H313">
        <v>1499</v>
      </c>
      <c r="I313" t="str">
        <f t="shared" si="36"/>
        <v>Normal</v>
      </c>
      <c r="J313">
        <v>1</v>
      </c>
      <c r="K313" t="str">
        <f t="shared" si="37"/>
        <v>Normal</v>
      </c>
      <c r="L313">
        <v>1499</v>
      </c>
      <c r="M313">
        <f t="shared" si="38"/>
        <v>1274.1499999999999</v>
      </c>
      <c r="N313" t="str">
        <f t="shared" si="39"/>
        <v>Mismatch</v>
      </c>
      <c r="O313" s="1">
        <v>42309</v>
      </c>
      <c r="P313">
        <v>15</v>
      </c>
      <c r="Q313" t="str">
        <f t="shared" si="40"/>
        <v>Invalid</v>
      </c>
      <c r="R313" t="s">
        <v>100</v>
      </c>
      <c r="S313" t="s">
        <v>29</v>
      </c>
      <c r="T313" t="s">
        <v>77</v>
      </c>
      <c r="U313" t="s">
        <v>31</v>
      </c>
      <c r="V313" t="s">
        <v>30</v>
      </c>
      <c r="W313" s="4">
        <v>45634</v>
      </c>
      <c r="X313" s="4" t="str">
        <f t="shared" si="41"/>
        <v>Invalid</v>
      </c>
      <c r="Y313" t="s">
        <v>32</v>
      </c>
      <c r="Z313" t="str">
        <f t="shared" si="42"/>
        <v>Valid</v>
      </c>
      <c r="AA313" t="s">
        <v>33</v>
      </c>
      <c r="AB313" t="s">
        <v>1141</v>
      </c>
      <c r="AC313" t="str">
        <f t="shared" si="43"/>
        <v>Not Applicable</v>
      </c>
      <c r="AE313" s="4" t="str">
        <f t="shared" si="44"/>
        <v>Not Applicable</v>
      </c>
      <c r="AF313" t="s">
        <v>34</v>
      </c>
    </row>
    <row r="314" spans="1:32" x14ac:dyDescent="0.3">
      <c r="A314" t="s">
        <v>283</v>
      </c>
      <c r="B314" s="4">
        <v>45581</v>
      </c>
      <c r="C314" t="s">
        <v>284</v>
      </c>
      <c r="D314" t="s">
        <v>25</v>
      </c>
      <c r="E314" t="s">
        <v>1191</v>
      </c>
      <c r="F314" t="s">
        <v>66</v>
      </c>
      <c r="G314" t="s">
        <v>285</v>
      </c>
      <c r="H314">
        <v>699</v>
      </c>
      <c r="I314" t="str">
        <f t="shared" si="36"/>
        <v>Normal</v>
      </c>
      <c r="J314">
        <v>2</v>
      </c>
      <c r="K314" t="str">
        <f t="shared" si="37"/>
        <v>Normal</v>
      </c>
      <c r="L314">
        <v>1398</v>
      </c>
      <c r="M314">
        <f t="shared" si="38"/>
        <v>1258.2</v>
      </c>
      <c r="N314" t="str">
        <f t="shared" si="39"/>
        <v>Mismatch</v>
      </c>
      <c r="O314" t="s">
        <v>99</v>
      </c>
      <c r="P314">
        <v>10</v>
      </c>
      <c r="Q314" t="str">
        <f t="shared" si="40"/>
        <v>Invalid</v>
      </c>
      <c r="R314" t="s">
        <v>100</v>
      </c>
      <c r="S314" t="s">
        <v>61</v>
      </c>
      <c r="T314" t="s">
        <v>77</v>
      </c>
      <c r="U314" t="s">
        <v>31</v>
      </c>
      <c r="V314" t="s">
        <v>30</v>
      </c>
      <c r="W314" s="4">
        <v>45590</v>
      </c>
      <c r="X314" s="4" t="str">
        <f t="shared" si="41"/>
        <v>Invalid</v>
      </c>
      <c r="Y314" t="s">
        <v>32</v>
      </c>
      <c r="Z314" t="str">
        <f t="shared" si="42"/>
        <v>Valid</v>
      </c>
      <c r="AA314" t="s">
        <v>33</v>
      </c>
      <c r="AB314" t="s">
        <v>1141</v>
      </c>
      <c r="AC314" t="str">
        <f t="shared" si="43"/>
        <v>Not Applicable</v>
      </c>
      <c r="AE314" s="4" t="str">
        <f t="shared" si="44"/>
        <v>Not Applicable</v>
      </c>
      <c r="AF314" t="s">
        <v>34</v>
      </c>
    </row>
    <row r="315" spans="1:32" x14ac:dyDescent="0.3">
      <c r="A315" t="s">
        <v>199</v>
      </c>
      <c r="B315" s="4">
        <v>45574</v>
      </c>
      <c r="C315" t="s">
        <v>200</v>
      </c>
      <c r="D315" t="s">
        <v>25</v>
      </c>
      <c r="E315" t="s">
        <v>1334</v>
      </c>
      <c r="F315" t="s">
        <v>38</v>
      </c>
      <c r="G315" t="s">
        <v>201</v>
      </c>
      <c r="H315">
        <v>1999</v>
      </c>
      <c r="I315" t="str">
        <f t="shared" si="36"/>
        <v>Normal</v>
      </c>
      <c r="J315">
        <v>1</v>
      </c>
      <c r="K315" t="str">
        <f t="shared" si="37"/>
        <v>Normal</v>
      </c>
      <c r="L315">
        <v>1999</v>
      </c>
      <c r="M315">
        <f t="shared" si="38"/>
        <v>1599.2</v>
      </c>
      <c r="N315" t="str">
        <f t="shared" si="39"/>
        <v>Mismatch</v>
      </c>
      <c r="O315" t="s">
        <v>40</v>
      </c>
      <c r="P315">
        <v>20</v>
      </c>
      <c r="Q315" t="str">
        <f t="shared" si="40"/>
        <v>Invalid</v>
      </c>
      <c r="R315" t="s">
        <v>100</v>
      </c>
      <c r="S315" t="s">
        <v>42</v>
      </c>
      <c r="T315" t="s">
        <v>77</v>
      </c>
      <c r="U315" t="s">
        <v>31</v>
      </c>
      <c r="V315" t="s">
        <v>30</v>
      </c>
      <c r="W315" s="4">
        <v>45581</v>
      </c>
      <c r="X315" s="4" t="str">
        <f t="shared" si="41"/>
        <v>Invalid</v>
      </c>
      <c r="Y315" t="s">
        <v>32</v>
      </c>
      <c r="Z315" t="str">
        <f t="shared" si="42"/>
        <v>Valid</v>
      </c>
      <c r="AA315" t="s">
        <v>33</v>
      </c>
      <c r="AB315" t="s">
        <v>1141</v>
      </c>
      <c r="AC315" t="str">
        <f t="shared" si="43"/>
        <v>Not Applicable</v>
      </c>
      <c r="AE315" s="4" t="str">
        <f t="shared" si="44"/>
        <v>Not Applicable</v>
      </c>
      <c r="AF315" t="s">
        <v>34</v>
      </c>
    </row>
    <row r="316" spans="1:32" x14ac:dyDescent="0.3">
      <c r="A316" t="s">
        <v>176</v>
      </c>
      <c r="B316" s="4">
        <v>45572</v>
      </c>
      <c r="C316" t="s">
        <v>177</v>
      </c>
      <c r="D316" t="s">
        <v>25</v>
      </c>
      <c r="E316" t="s">
        <v>1423</v>
      </c>
      <c r="F316" t="s">
        <v>26</v>
      </c>
      <c r="G316" t="s">
        <v>178</v>
      </c>
      <c r="H316">
        <v>1899</v>
      </c>
      <c r="I316" t="str">
        <f t="shared" si="36"/>
        <v>Normal</v>
      </c>
      <c r="J316">
        <v>1</v>
      </c>
      <c r="K316" t="str">
        <f t="shared" si="37"/>
        <v>Normal</v>
      </c>
      <c r="L316">
        <v>1899</v>
      </c>
      <c r="M316">
        <f t="shared" si="38"/>
        <v>1899</v>
      </c>
      <c r="N316" t="str">
        <f t="shared" si="39"/>
        <v>Match</v>
      </c>
      <c r="O316" t="s">
        <v>1140</v>
      </c>
      <c r="P316">
        <v>0</v>
      </c>
      <c r="Q316" t="str">
        <f t="shared" si="40"/>
        <v>Invalid</v>
      </c>
      <c r="R316" t="s">
        <v>52</v>
      </c>
      <c r="S316" t="s">
        <v>42</v>
      </c>
      <c r="T316" t="s">
        <v>179</v>
      </c>
      <c r="U316" t="s">
        <v>88</v>
      </c>
      <c r="V316" t="s">
        <v>30</v>
      </c>
      <c r="X316" s="4" t="str">
        <f t="shared" si="41"/>
        <v>Not applicable</v>
      </c>
      <c r="Y316" t="s">
        <v>32</v>
      </c>
      <c r="Z316" t="str">
        <f t="shared" si="42"/>
        <v>Valid</v>
      </c>
      <c r="AA316" t="s">
        <v>33</v>
      </c>
      <c r="AB316" t="s">
        <v>1141</v>
      </c>
      <c r="AC316" t="str">
        <f t="shared" si="43"/>
        <v>Not Applicable</v>
      </c>
      <c r="AE316" s="4" t="str">
        <f t="shared" si="44"/>
        <v>Not Applicable</v>
      </c>
      <c r="AF316" t="s">
        <v>34</v>
      </c>
    </row>
    <row r="317" spans="1:32" x14ac:dyDescent="0.3">
      <c r="A317" t="s">
        <v>685</v>
      </c>
      <c r="B317" s="4">
        <v>45617</v>
      </c>
      <c r="C317" t="s">
        <v>686</v>
      </c>
      <c r="D317" t="s">
        <v>37</v>
      </c>
      <c r="E317" t="s">
        <v>1243</v>
      </c>
      <c r="F317" t="s">
        <v>50</v>
      </c>
      <c r="G317" t="s">
        <v>687</v>
      </c>
      <c r="H317">
        <v>2599</v>
      </c>
      <c r="I317" t="str">
        <f t="shared" si="36"/>
        <v>Normal</v>
      </c>
      <c r="J317">
        <v>1</v>
      </c>
      <c r="K317" t="str">
        <f t="shared" si="37"/>
        <v>Normal</v>
      </c>
      <c r="L317">
        <v>2599</v>
      </c>
      <c r="M317">
        <f t="shared" si="38"/>
        <v>2599</v>
      </c>
      <c r="N317" t="str">
        <f t="shared" si="39"/>
        <v>Match</v>
      </c>
      <c r="O317" t="s">
        <v>1140</v>
      </c>
      <c r="P317">
        <v>0</v>
      </c>
      <c r="Q317" t="str">
        <f t="shared" si="40"/>
        <v>Invalid</v>
      </c>
      <c r="R317" t="s">
        <v>41</v>
      </c>
      <c r="S317" t="s">
        <v>61</v>
      </c>
      <c r="T317" t="s">
        <v>179</v>
      </c>
      <c r="U317" t="s">
        <v>88</v>
      </c>
      <c r="V317" t="s">
        <v>30</v>
      </c>
      <c r="W317" s="4">
        <v>45631</v>
      </c>
      <c r="X317" s="4" t="str">
        <f t="shared" si="41"/>
        <v>Invalid</v>
      </c>
      <c r="Y317" t="s">
        <v>32</v>
      </c>
      <c r="Z317" t="str">
        <f t="shared" si="42"/>
        <v>Valid</v>
      </c>
      <c r="AA317" t="s">
        <v>33</v>
      </c>
      <c r="AB317" t="s">
        <v>1141</v>
      </c>
      <c r="AC317" t="str">
        <f t="shared" si="43"/>
        <v>Not Applicable</v>
      </c>
      <c r="AE317" s="4" t="str">
        <f t="shared" si="44"/>
        <v>Not Applicable</v>
      </c>
      <c r="AF317" t="s">
        <v>34</v>
      </c>
    </row>
    <row r="318" spans="1:32" x14ac:dyDescent="0.3">
      <c r="A318" t="s">
        <v>873</v>
      </c>
      <c r="B318" s="4">
        <v>45634</v>
      </c>
      <c r="C318" t="s">
        <v>874</v>
      </c>
      <c r="D318" t="s">
        <v>25</v>
      </c>
      <c r="E318" t="s">
        <v>1272</v>
      </c>
      <c r="F318" t="s">
        <v>50</v>
      </c>
      <c r="G318" t="s">
        <v>258</v>
      </c>
      <c r="H318">
        <v>2299</v>
      </c>
      <c r="I318" t="str">
        <f t="shared" si="36"/>
        <v>Normal</v>
      </c>
      <c r="J318">
        <v>1</v>
      </c>
      <c r="K318" t="str">
        <f t="shared" si="37"/>
        <v>Normal</v>
      </c>
      <c r="L318">
        <v>2299</v>
      </c>
      <c r="M318">
        <f t="shared" si="38"/>
        <v>2299</v>
      </c>
      <c r="N318" t="str">
        <f t="shared" si="39"/>
        <v>Match</v>
      </c>
      <c r="O318" s="1" t="s">
        <v>1140</v>
      </c>
      <c r="P318">
        <v>0</v>
      </c>
      <c r="Q318" t="str">
        <f t="shared" si="40"/>
        <v>Invalid</v>
      </c>
      <c r="R318" t="s">
        <v>28</v>
      </c>
      <c r="S318" t="s">
        <v>42</v>
      </c>
      <c r="T318" t="s">
        <v>179</v>
      </c>
      <c r="U318" t="s">
        <v>88</v>
      </c>
      <c r="V318" t="s">
        <v>30</v>
      </c>
      <c r="W318" s="4">
        <v>45649</v>
      </c>
      <c r="X318" s="4" t="str">
        <f t="shared" si="41"/>
        <v>Invalid</v>
      </c>
      <c r="Y318" t="s">
        <v>32</v>
      </c>
      <c r="Z318" t="str">
        <f t="shared" si="42"/>
        <v>Valid</v>
      </c>
      <c r="AA318" t="s">
        <v>33</v>
      </c>
      <c r="AB318" t="s">
        <v>1141</v>
      </c>
      <c r="AC318" t="str">
        <f t="shared" si="43"/>
        <v>Not Applicable</v>
      </c>
      <c r="AE318" s="4" t="str">
        <f t="shared" si="44"/>
        <v>Not Applicable</v>
      </c>
      <c r="AF318" t="s">
        <v>34</v>
      </c>
    </row>
    <row r="319" spans="1:32" x14ac:dyDescent="0.3">
      <c r="A319" t="s">
        <v>601</v>
      </c>
      <c r="B319" s="4">
        <v>45608</v>
      </c>
      <c r="C319" t="s">
        <v>602</v>
      </c>
      <c r="D319" t="s">
        <v>25</v>
      </c>
      <c r="E319" t="s">
        <v>1187</v>
      </c>
      <c r="F319" t="s">
        <v>66</v>
      </c>
      <c r="G319" t="s">
        <v>603</v>
      </c>
      <c r="H319">
        <v>399</v>
      </c>
      <c r="I319" t="str">
        <f t="shared" si="36"/>
        <v>Normal</v>
      </c>
      <c r="J319">
        <v>2</v>
      </c>
      <c r="K319" t="str">
        <f t="shared" si="37"/>
        <v>Normal</v>
      </c>
      <c r="L319">
        <v>798</v>
      </c>
      <c r="M319">
        <f t="shared" si="38"/>
        <v>678.3</v>
      </c>
      <c r="N319" t="str">
        <f t="shared" si="39"/>
        <v>Mismatch</v>
      </c>
      <c r="O319" s="1">
        <v>42309</v>
      </c>
      <c r="P319">
        <v>15</v>
      </c>
      <c r="Q319" t="str">
        <f t="shared" si="40"/>
        <v>Invalid</v>
      </c>
      <c r="R319" t="s">
        <v>100</v>
      </c>
      <c r="S319" t="s">
        <v>42</v>
      </c>
      <c r="T319" t="s">
        <v>179</v>
      </c>
      <c r="U319" t="s">
        <v>88</v>
      </c>
      <c r="V319" t="s">
        <v>30</v>
      </c>
      <c r="W319" s="4">
        <v>45621</v>
      </c>
      <c r="X319" s="4" t="str">
        <f t="shared" si="41"/>
        <v>Invalid</v>
      </c>
      <c r="Y319" t="s">
        <v>32</v>
      </c>
      <c r="Z319" t="str">
        <f t="shared" si="42"/>
        <v>Valid</v>
      </c>
      <c r="AA319" t="s">
        <v>33</v>
      </c>
      <c r="AB319" t="s">
        <v>1141</v>
      </c>
      <c r="AC319" t="str">
        <f t="shared" si="43"/>
        <v>Not Applicable</v>
      </c>
      <c r="AE319" s="4" t="str">
        <f t="shared" si="44"/>
        <v>Not Applicable</v>
      </c>
      <c r="AF319" t="s">
        <v>34</v>
      </c>
    </row>
    <row r="320" spans="1:32" x14ac:dyDescent="0.3">
      <c r="A320" t="s">
        <v>345</v>
      </c>
      <c r="B320" s="4">
        <v>45586</v>
      </c>
      <c r="C320" t="s">
        <v>346</v>
      </c>
      <c r="D320" t="s">
        <v>25</v>
      </c>
      <c r="E320" t="s">
        <v>1237</v>
      </c>
      <c r="F320" t="s">
        <v>50</v>
      </c>
      <c r="G320" t="s">
        <v>347</v>
      </c>
      <c r="H320">
        <v>1599</v>
      </c>
      <c r="I320" t="str">
        <f t="shared" si="36"/>
        <v>Normal</v>
      </c>
      <c r="J320">
        <v>1</v>
      </c>
      <c r="K320" t="str">
        <f t="shared" si="37"/>
        <v>Normal</v>
      </c>
      <c r="L320">
        <v>1599</v>
      </c>
      <c r="M320">
        <f t="shared" si="38"/>
        <v>1599</v>
      </c>
      <c r="N320" t="str">
        <f t="shared" si="39"/>
        <v>Match</v>
      </c>
      <c r="O320" t="s">
        <v>1140</v>
      </c>
      <c r="P320">
        <v>0</v>
      </c>
      <c r="Q320" t="str">
        <f t="shared" si="40"/>
        <v>Invalid</v>
      </c>
      <c r="R320" t="s">
        <v>100</v>
      </c>
      <c r="S320" t="s">
        <v>61</v>
      </c>
      <c r="T320" t="s">
        <v>179</v>
      </c>
      <c r="U320" t="s">
        <v>88</v>
      </c>
      <c r="V320" t="s">
        <v>30</v>
      </c>
      <c r="W320" s="4">
        <v>45598</v>
      </c>
      <c r="X320" s="4" t="str">
        <f t="shared" si="41"/>
        <v>Invalid</v>
      </c>
      <c r="Y320" t="s">
        <v>32</v>
      </c>
      <c r="Z320" t="str">
        <f t="shared" si="42"/>
        <v>Valid</v>
      </c>
      <c r="AA320" t="s">
        <v>33</v>
      </c>
      <c r="AB320" t="s">
        <v>1141</v>
      </c>
      <c r="AC320" t="str">
        <f t="shared" si="43"/>
        <v>Not Applicable</v>
      </c>
      <c r="AE320" s="4" t="str">
        <f t="shared" si="44"/>
        <v>Not Applicable</v>
      </c>
      <c r="AF320" t="s">
        <v>34</v>
      </c>
    </row>
    <row r="321" spans="1:32" x14ac:dyDescent="0.3">
      <c r="A321" t="s">
        <v>262</v>
      </c>
      <c r="B321" s="4">
        <v>45579</v>
      </c>
      <c r="C321" t="s">
        <v>263</v>
      </c>
      <c r="D321" t="s">
        <v>25</v>
      </c>
      <c r="E321" t="s">
        <v>1449</v>
      </c>
      <c r="F321" t="s">
        <v>26</v>
      </c>
      <c r="G321" t="s">
        <v>264</v>
      </c>
      <c r="H321">
        <v>1499</v>
      </c>
      <c r="I321" t="str">
        <f t="shared" si="36"/>
        <v>Normal</v>
      </c>
      <c r="J321">
        <v>1</v>
      </c>
      <c r="K321" t="str">
        <f t="shared" si="37"/>
        <v>Normal</v>
      </c>
      <c r="L321">
        <v>1499</v>
      </c>
      <c r="M321">
        <f t="shared" si="38"/>
        <v>1499</v>
      </c>
      <c r="N321" t="str">
        <f t="shared" si="39"/>
        <v>Match</v>
      </c>
      <c r="O321" t="s">
        <v>1140</v>
      </c>
      <c r="P321">
        <v>0</v>
      </c>
      <c r="Q321" t="str">
        <f t="shared" si="40"/>
        <v>Invalid</v>
      </c>
      <c r="R321" t="s">
        <v>100</v>
      </c>
      <c r="S321" t="s">
        <v>29</v>
      </c>
      <c r="T321" t="s">
        <v>179</v>
      </c>
      <c r="U321" t="s">
        <v>88</v>
      </c>
      <c r="V321" t="s">
        <v>30</v>
      </c>
      <c r="W321" s="4">
        <v>45587</v>
      </c>
      <c r="X321" s="4" t="str">
        <f t="shared" si="41"/>
        <v>Invalid</v>
      </c>
      <c r="Y321" t="s">
        <v>32</v>
      </c>
      <c r="Z321" t="str">
        <f t="shared" si="42"/>
        <v>Valid</v>
      </c>
      <c r="AA321" t="s">
        <v>33</v>
      </c>
      <c r="AB321" t="s">
        <v>1141</v>
      </c>
      <c r="AC321" t="str">
        <f t="shared" si="43"/>
        <v>Not Applicable</v>
      </c>
      <c r="AE321" s="4" t="str">
        <f t="shared" si="44"/>
        <v>Not Applicable</v>
      </c>
      <c r="AF321" t="s">
        <v>34</v>
      </c>
    </row>
    <row r="322" spans="1:32" x14ac:dyDescent="0.3">
      <c r="A322" t="s">
        <v>781</v>
      </c>
      <c r="B322" s="4">
        <v>45628</v>
      </c>
      <c r="C322" t="s">
        <v>782</v>
      </c>
      <c r="D322" t="s">
        <v>25</v>
      </c>
      <c r="E322" t="s">
        <v>1467</v>
      </c>
      <c r="F322" t="s">
        <v>26</v>
      </c>
      <c r="G322" t="s">
        <v>783</v>
      </c>
      <c r="H322">
        <v>1599</v>
      </c>
      <c r="I322" t="str">
        <f t="shared" ref="I322:I347" si="45">IF(OR(H322&lt;=0,H322&gt;50000),"Outlier","Normal")</f>
        <v>Normal</v>
      </c>
      <c r="J322">
        <v>2</v>
      </c>
      <c r="K322" t="str">
        <f t="shared" ref="K322:K347" si="46">IF(J322&gt;10,"Outlier","Normal")</f>
        <v>Normal</v>
      </c>
      <c r="L322">
        <v>3198</v>
      </c>
      <c r="M322">
        <f t="shared" ref="M322:M347" si="47">H322*J322*(1-(P322/100))</f>
        <v>3198</v>
      </c>
      <c r="N322" t="str">
        <f t="shared" ref="N322:N347" si="48">IF(ABS(L322-M322)&lt;1,"Match","Mismatch")</f>
        <v>Match</v>
      </c>
      <c r="O322" t="s">
        <v>1140</v>
      </c>
      <c r="P322">
        <v>0</v>
      </c>
      <c r="Q322" t="str">
        <f t="shared" ref="Q322:Q347" si="49">IF(OR(P322&lt;0,C322&gt;100),"Invalid","valid")</f>
        <v>Invalid</v>
      </c>
      <c r="R322" t="s">
        <v>41</v>
      </c>
      <c r="S322" t="s">
        <v>42</v>
      </c>
      <c r="T322" t="s">
        <v>784</v>
      </c>
      <c r="U322" t="s">
        <v>785</v>
      </c>
      <c r="V322" t="s">
        <v>43</v>
      </c>
      <c r="W322" s="4">
        <v>45635</v>
      </c>
      <c r="X322" s="4" t="str">
        <f t="shared" ref="X322:X347" si="50">IF(AND(B322&lt;&gt;"",W322&lt;&gt;""),IF(B322&lt;D322,"Invalid","Valid"),"Not applicable")</f>
        <v>Invalid</v>
      </c>
      <c r="Y322" t="s">
        <v>32</v>
      </c>
      <c r="Z322" t="str">
        <f t="shared" ref="Z322:Z347" si="51">IF(AND(Y322="Cancelled",W322&lt;&gt;""),"Invalid","Valid")</f>
        <v>Valid</v>
      </c>
      <c r="AA322" t="s">
        <v>33</v>
      </c>
      <c r="AB322" t="s">
        <v>1141</v>
      </c>
      <c r="AC322" t="str">
        <f t="shared" ref="AC322:AC347" si="52">IF(AA322="Yes",
   IF(OR(AB322="", AB322="Not Applicable"), "Missing Reason", "Valid"),
   "Not Applicable")</f>
        <v>Not Applicable</v>
      </c>
      <c r="AE322" s="4" t="str">
        <f t="shared" ref="AE322:AE347" si="53">IF(AND(W322&lt;&gt;"",AD322&lt;&gt;""),IF(W322&lt;AD322,"Invalid","Valid"),"Not Applicable")</f>
        <v>Not Applicable</v>
      </c>
      <c r="AF322" t="s">
        <v>34</v>
      </c>
    </row>
    <row r="323" spans="1:32" x14ac:dyDescent="0.3">
      <c r="A323" t="s">
        <v>232</v>
      </c>
      <c r="B323" s="4">
        <v>45576</v>
      </c>
      <c r="C323" t="s">
        <v>233</v>
      </c>
      <c r="D323" t="s">
        <v>25</v>
      </c>
      <c r="E323" t="s">
        <v>1465</v>
      </c>
      <c r="F323" t="s">
        <v>26</v>
      </c>
      <c r="G323" t="s">
        <v>234</v>
      </c>
      <c r="H323">
        <v>1299</v>
      </c>
      <c r="I323" t="str">
        <f t="shared" si="45"/>
        <v>Normal</v>
      </c>
      <c r="J323">
        <v>1</v>
      </c>
      <c r="K323" t="str">
        <f t="shared" si="46"/>
        <v>Normal</v>
      </c>
      <c r="L323">
        <v>1299</v>
      </c>
      <c r="M323">
        <f t="shared" si="47"/>
        <v>1299</v>
      </c>
      <c r="N323" t="str">
        <f t="shared" si="48"/>
        <v>Match</v>
      </c>
      <c r="O323" t="s">
        <v>1140</v>
      </c>
      <c r="P323">
        <v>0</v>
      </c>
      <c r="Q323" t="str">
        <f t="shared" si="49"/>
        <v>Invalid</v>
      </c>
      <c r="R323" t="s">
        <v>52</v>
      </c>
      <c r="S323" t="s">
        <v>61</v>
      </c>
      <c r="T323" t="s">
        <v>136</v>
      </c>
      <c r="U323" t="s">
        <v>88</v>
      </c>
      <c r="V323" t="s">
        <v>30</v>
      </c>
      <c r="X323" s="4" t="str">
        <f t="shared" si="50"/>
        <v>Not applicable</v>
      </c>
      <c r="Y323" t="s">
        <v>32</v>
      </c>
      <c r="Z323" t="str">
        <f t="shared" si="51"/>
        <v>Valid</v>
      </c>
      <c r="AA323" t="s">
        <v>33</v>
      </c>
      <c r="AB323" t="s">
        <v>1141</v>
      </c>
      <c r="AC323" t="str">
        <f t="shared" si="52"/>
        <v>Not Applicable</v>
      </c>
      <c r="AE323" s="4" t="str">
        <f t="shared" si="53"/>
        <v>Not Applicable</v>
      </c>
      <c r="AF323" t="s">
        <v>34</v>
      </c>
    </row>
    <row r="324" spans="1:32" x14ac:dyDescent="0.3">
      <c r="A324" t="s">
        <v>398</v>
      </c>
      <c r="B324" s="4">
        <v>45590</v>
      </c>
      <c r="C324" t="s">
        <v>399</v>
      </c>
      <c r="D324" t="s">
        <v>25</v>
      </c>
      <c r="E324" t="s">
        <v>1355</v>
      </c>
      <c r="F324" t="s">
        <v>57</v>
      </c>
      <c r="G324" t="s">
        <v>400</v>
      </c>
      <c r="H324">
        <v>5999</v>
      </c>
      <c r="I324" t="str">
        <f t="shared" si="45"/>
        <v>Normal</v>
      </c>
      <c r="J324">
        <v>1</v>
      </c>
      <c r="K324" t="str">
        <f t="shared" si="46"/>
        <v>Normal</v>
      </c>
      <c r="L324">
        <v>5999</v>
      </c>
      <c r="M324">
        <f t="shared" si="47"/>
        <v>5999</v>
      </c>
      <c r="N324" t="str">
        <f t="shared" si="48"/>
        <v>Match</v>
      </c>
      <c r="O324" t="s">
        <v>1140</v>
      </c>
      <c r="P324">
        <v>0</v>
      </c>
      <c r="Q324" t="str">
        <f t="shared" si="49"/>
        <v>Invalid</v>
      </c>
      <c r="R324" t="s">
        <v>41</v>
      </c>
      <c r="S324" t="s">
        <v>61</v>
      </c>
      <c r="T324" t="s">
        <v>136</v>
      </c>
      <c r="U324" t="s">
        <v>88</v>
      </c>
      <c r="V324" t="s">
        <v>30</v>
      </c>
      <c r="W324" s="4">
        <v>45604</v>
      </c>
      <c r="X324" s="4" t="str">
        <f t="shared" si="50"/>
        <v>Invalid</v>
      </c>
      <c r="Y324" t="s">
        <v>32</v>
      </c>
      <c r="Z324" t="str">
        <f t="shared" si="51"/>
        <v>Valid</v>
      </c>
      <c r="AA324" t="s">
        <v>33</v>
      </c>
      <c r="AB324" t="s">
        <v>1141</v>
      </c>
      <c r="AC324" t="str">
        <f t="shared" si="52"/>
        <v>Not Applicable</v>
      </c>
      <c r="AE324" s="4" t="str">
        <f t="shared" si="53"/>
        <v>Not Applicable</v>
      </c>
      <c r="AF324" t="s">
        <v>34</v>
      </c>
    </row>
    <row r="325" spans="1:32" x14ac:dyDescent="0.3">
      <c r="A325" t="s">
        <v>253</v>
      </c>
      <c r="B325" s="4">
        <v>45578</v>
      </c>
      <c r="C325" t="s">
        <v>254</v>
      </c>
      <c r="D325" t="s">
        <v>37</v>
      </c>
      <c r="E325" t="s">
        <v>1184</v>
      </c>
      <c r="F325" t="s">
        <v>66</v>
      </c>
      <c r="G325" t="s">
        <v>255</v>
      </c>
      <c r="H325">
        <v>1299</v>
      </c>
      <c r="I325" t="str">
        <f t="shared" si="45"/>
        <v>Normal</v>
      </c>
      <c r="J325">
        <v>1</v>
      </c>
      <c r="K325" t="str">
        <f t="shared" si="46"/>
        <v>Normal</v>
      </c>
      <c r="L325">
        <v>1299</v>
      </c>
      <c r="M325">
        <f t="shared" si="47"/>
        <v>1299</v>
      </c>
      <c r="N325" t="str">
        <f t="shared" si="48"/>
        <v>Match</v>
      </c>
      <c r="O325" t="s">
        <v>1140</v>
      </c>
      <c r="P325">
        <v>0</v>
      </c>
      <c r="Q325" t="str">
        <f t="shared" si="49"/>
        <v>Invalid</v>
      </c>
      <c r="R325" t="s">
        <v>52</v>
      </c>
      <c r="S325" t="s">
        <v>61</v>
      </c>
      <c r="T325" t="s">
        <v>167</v>
      </c>
      <c r="U325" t="s">
        <v>158</v>
      </c>
      <c r="V325" t="s">
        <v>53</v>
      </c>
      <c r="W325" s="4">
        <v>45587</v>
      </c>
      <c r="X325" s="4" t="str">
        <f t="shared" si="50"/>
        <v>Invalid</v>
      </c>
      <c r="Y325" t="s">
        <v>32</v>
      </c>
      <c r="Z325" t="str">
        <f t="shared" si="51"/>
        <v>Valid</v>
      </c>
      <c r="AA325" t="s">
        <v>33</v>
      </c>
      <c r="AB325" t="s">
        <v>1141</v>
      </c>
      <c r="AC325" t="str">
        <f t="shared" si="52"/>
        <v>Not Applicable</v>
      </c>
      <c r="AE325" s="4" t="str">
        <f t="shared" si="53"/>
        <v>Not Applicable</v>
      </c>
      <c r="AF325" t="s">
        <v>34</v>
      </c>
    </row>
    <row r="326" spans="1:32" x14ac:dyDescent="0.3">
      <c r="A326" t="s">
        <v>676</v>
      </c>
      <c r="B326" s="4">
        <v>45616</v>
      </c>
      <c r="C326" t="s">
        <v>677</v>
      </c>
      <c r="D326" t="s">
        <v>25</v>
      </c>
      <c r="E326" t="s">
        <v>1188</v>
      </c>
      <c r="F326" t="s">
        <v>66</v>
      </c>
      <c r="G326" t="s">
        <v>678</v>
      </c>
      <c r="H326">
        <v>799</v>
      </c>
      <c r="I326" t="str">
        <f t="shared" si="45"/>
        <v>Normal</v>
      </c>
      <c r="J326">
        <v>1</v>
      </c>
      <c r="K326" t="str">
        <f t="shared" si="46"/>
        <v>Normal</v>
      </c>
      <c r="L326">
        <v>799</v>
      </c>
      <c r="M326">
        <f t="shared" si="47"/>
        <v>799</v>
      </c>
      <c r="N326" t="str">
        <f t="shared" si="48"/>
        <v>Match</v>
      </c>
      <c r="O326" t="s">
        <v>1140</v>
      </c>
      <c r="P326">
        <v>0</v>
      </c>
      <c r="Q326" t="str">
        <f t="shared" si="49"/>
        <v>Invalid</v>
      </c>
      <c r="R326" t="s">
        <v>41</v>
      </c>
      <c r="S326" t="s">
        <v>61</v>
      </c>
      <c r="T326" t="s">
        <v>167</v>
      </c>
      <c r="U326" t="s">
        <v>158</v>
      </c>
      <c r="V326" t="s">
        <v>53</v>
      </c>
      <c r="W326" s="4">
        <v>45630</v>
      </c>
      <c r="X326" s="4" t="str">
        <f t="shared" si="50"/>
        <v>Invalid</v>
      </c>
      <c r="Y326" t="s">
        <v>32</v>
      </c>
      <c r="Z326" t="str">
        <f t="shared" si="51"/>
        <v>Valid</v>
      </c>
      <c r="AA326" t="s">
        <v>33</v>
      </c>
      <c r="AB326" t="s">
        <v>1141</v>
      </c>
      <c r="AC326" t="str">
        <f t="shared" si="52"/>
        <v>Not Applicable</v>
      </c>
      <c r="AE326" s="4" t="str">
        <f t="shared" si="53"/>
        <v>Not Applicable</v>
      </c>
      <c r="AF326" t="s">
        <v>34</v>
      </c>
    </row>
    <row r="327" spans="1:32" x14ac:dyDescent="0.3">
      <c r="A327" t="s">
        <v>164</v>
      </c>
      <c r="B327" s="4">
        <v>45571</v>
      </c>
      <c r="C327" t="s">
        <v>165</v>
      </c>
      <c r="D327" t="s">
        <v>25</v>
      </c>
      <c r="E327" t="s">
        <v>1340</v>
      </c>
      <c r="F327" t="s">
        <v>38</v>
      </c>
      <c r="G327" t="s">
        <v>166</v>
      </c>
      <c r="H327">
        <v>2699</v>
      </c>
      <c r="I327" t="str">
        <f t="shared" si="45"/>
        <v>Normal</v>
      </c>
      <c r="J327">
        <v>1</v>
      </c>
      <c r="K327" t="str">
        <f t="shared" si="46"/>
        <v>Normal</v>
      </c>
      <c r="L327">
        <v>2699</v>
      </c>
      <c r="M327">
        <f t="shared" si="47"/>
        <v>2699</v>
      </c>
      <c r="N327" t="str">
        <f t="shared" si="48"/>
        <v>Match</v>
      </c>
      <c r="O327" t="s">
        <v>1140</v>
      </c>
      <c r="P327">
        <v>0</v>
      </c>
      <c r="Q327" t="str">
        <f t="shared" si="49"/>
        <v>Invalid</v>
      </c>
      <c r="R327" t="s">
        <v>41</v>
      </c>
      <c r="S327" t="s">
        <v>42</v>
      </c>
      <c r="T327" t="s">
        <v>167</v>
      </c>
      <c r="U327" t="s">
        <v>158</v>
      </c>
      <c r="V327" t="s">
        <v>53</v>
      </c>
      <c r="W327" s="4">
        <v>45583</v>
      </c>
      <c r="X327" s="4" t="str">
        <f t="shared" si="50"/>
        <v>Invalid</v>
      </c>
      <c r="Y327" t="s">
        <v>32</v>
      </c>
      <c r="Z327" t="str">
        <f t="shared" si="51"/>
        <v>Valid</v>
      </c>
      <c r="AA327" t="s">
        <v>33</v>
      </c>
      <c r="AB327" t="s">
        <v>1141</v>
      </c>
      <c r="AC327" t="str">
        <f t="shared" si="52"/>
        <v>Not Applicable</v>
      </c>
      <c r="AE327" s="4" t="str">
        <f t="shared" si="53"/>
        <v>Not Applicable</v>
      </c>
      <c r="AF327" t="s">
        <v>34</v>
      </c>
    </row>
    <row r="328" spans="1:32" x14ac:dyDescent="0.3">
      <c r="A328" t="s">
        <v>419</v>
      </c>
      <c r="B328" s="4">
        <v>45592</v>
      </c>
      <c r="C328" t="s">
        <v>420</v>
      </c>
      <c r="D328" t="s">
        <v>37</v>
      </c>
      <c r="E328" t="s">
        <v>1236</v>
      </c>
      <c r="F328" t="s">
        <v>50</v>
      </c>
      <c r="G328" t="s">
        <v>421</v>
      </c>
      <c r="H328">
        <v>1799</v>
      </c>
      <c r="I328" t="str">
        <f t="shared" si="45"/>
        <v>Normal</v>
      </c>
      <c r="J328">
        <v>1</v>
      </c>
      <c r="K328" t="str">
        <f t="shared" si="46"/>
        <v>Normal</v>
      </c>
      <c r="L328">
        <v>1799</v>
      </c>
      <c r="M328">
        <f t="shared" si="47"/>
        <v>1439.2</v>
      </c>
      <c r="N328" t="str">
        <f t="shared" si="48"/>
        <v>Mismatch</v>
      </c>
      <c r="O328" t="s">
        <v>40</v>
      </c>
      <c r="P328">
        <v>20</v>
      </c>
      <c r="Q328" t="str">
        <f t="shared" si="49"/>
        <v>Invalid</v>
      </c>
      <c r="R328" t="s">
        <v>28</v>
      </c>
      <c r="S328" t="s">
        <v>42</v>
      </c>
      <c r="T328" t="s">
        <v>167</v>
      </c>
      <c r="U328" t="s">
        <v>158</v>
      </c>
      <c r="V328" t="s">
        <v>53</v>
      </c>
      <c r="W328" s="4">
        <v>45604</v>
      </c>
      <c r="X328" s="4" t="str">
        <f t="shared" si="50"/>
        <v>Invalid</v>
      </c>
      <c r="Y328" t="s">
        <v>32</v>
      </c>
      <c r="Z328" t="str">
        <f t="shared" si="51"/>
        <v>Valid</v>
      </c>
      <c r="AA328" t="s">
        <v>33</v>
      </c>
      <c r="AB328" t="s">
        <v>1141</v>
      </c>
      <c r="AC328" t="str">
        <f t="shared" si="52"/>
        <v>Not Applicable</v>
      </c>
      <c r="AE328" s="4" t="str">
        <f t="shared" si="53"/>
        <v>Not Applicable</v>
      </c>
      <c r="AF328" t="s">
        <v>34</v>
      </c>
    </row>
    <row r="329" spans="1:32" x14ac:dyDescent="0.3">
      <c r="A329" t="s">
        <v>337</v>
      </c>
      <c r="B329" s="4">
        <v>45585</v>
      </c>
      <c r="C329" t="s">
        <v>338</v>
      </c>
      <c r="D329" t="s">
        <v>37</v>
      </c>
      <c r="E329" t="s">
        <v>1472</v>
      </c>
      <c r="F329" t="s">
        <v>26</v>
      </c>
      <c r="G329" t="s">
        <v>339</v>
      </c>
      <c r="H329">
        <v>1099</v>
      </c>
      <c r="I329" t="str">
        <f t="shared" si="45"/>
        <v>Normal</v>
      </c>
      <c r="J329">
        <v>2</v>
      </c>
      <c r="K329" t="str">
        <f t="shared" si="46"/>
        <v>Normal</v>
      </c>
      <c r="L329">
        <v>2198</v>
      </c>
      <c r="M329">
        <f t="shared" si="47"/>
        <v>2198</v>
      </c>
      <c r="N329" t="str">
        <f t="shared" si="48"/>
        <v>Match</v>
      </c>
      <c r="O329" t="s">
        <v>1140</v>
      </c>
      <c r="P329">
        <v>0</v>
      </c>
      <c r="Q329" t="str">
        <f t="shared" si="49"/>
        <v>Invalid</v>
      </c>
      <c r="R329" t="s">
        <v>28</v>
      </c>
      <c r="S329" t="s">
        <v>61</v>
      </c>
      <c r="T329" t="s">
        <v>167</v>
      </c>
      <c r="U329" t="s">
        <v>158</v>
      </c>
      <c r="V329" t="s">
        <v>53</v>
      </c>
      <c r="W329" s="4">
        <v>45595</v>
      </c>
      <c r="X329" s="4" t="str">
        <f t="shared" si="50"/>
        <v>Invalid</v>
      </c>
      <c r="Y329" t="s">
        <v>32</v>
      </c>
      <c r="Z329" t="str">
        <f t="shared" si="51"/>
        <v>Valid</v>
      </c>
      <c r="AA329" t="s">
        <v>33</v>
      </c>
      <c r="AB329" t="s">
        <v>1141</v>
      </c>
      <c r="AC329" t="str">
        <f t="shared" si="52"/>
        <v>Not Applicable</v>
      </c>
      <c r="AE329" s="4" t="str">
        <f t="shared" si="53"/>
        <v>Not Applicable</v>
      </c>
      <c r="AF329" t="s">
        <v>34</v>
      </c>
    </row>
    <row r="330" spans="1:32" x14ac:dyDescent="0.3">
      <c r="A330" t="s">
        <v>760</v>
      </c>
      <c r="B330" s="4">
        <v>45626</v>
      </c>
      <c r="C330" t="s">
        <v>761</v>
      </c>
      <c r="D330" t="s">
        <v>37</v>
      </c>
      <c r="E330" t="s">
        <v>1244</v>
      </c>
      <c r="F330" t="s">
        <v>50</v>
      </c>
      <c r="G330" t="s">
        <v>762</v>
      </c>
      <c r="H330">
        <v>2799</v>
      </c>
      <c r="I330" t="str">
        <f t="shared" si="45"/>
        <v>Normal</v>
      </c>
      <c r="J330">
        <v>1</v>
      </c>
      <c r="K330" t="str">
        <f t="shared" si="46"/>
        <v>Normal</v>
      </c>
      <c r="L330">
        <v>2799</v>
      </c>
      <c r="M330">
        <f t="shared" si="47"/>
        <v>2799</v>
      </c>
      <c r="N330" t="str">
        <f t="shared" si="48"/>
        <v>Match</v>
      </c>
      <c r="O330" t="s">
        <v>1140</v>
      </c>
      <c r="P330">
        <v>0</v>
      </c>
      <c r="Q330" t="str">
        <f t="shared" si="49"/>
        <v>Invalid</v>
      </c>
      <c r="R330" t="s">
        <v>100</v>
      </c>
      <c r="S330" t="s">
        <v>29</v>
      </c>
      <c r="T330" t="s">
        <v>167</v>
      </c>
      <c r="U330" t="s">
        <v>158</v>
      </c>
      <c r="V330" t="s">
        <v>53</v>
      </c>
      <c r="W330" s="4">
        <v>45641</v>
      </c>
      <c r="X330" s="4" t="str">
        <f t="shared" si="50"/>
        <v>Invalid</v>
      </c>
      <c r="Y330" t="s">
        <v>32</v>
      </c>
      <c r="Z330" t="str">
        <f t="shared" si="51"/>
        <v>Valid</v>
      </c>
      <c r="AA330" t="s">
        <v>33</v>
      </c>
      <c r="AB330" t="s">
        <v>1141</v>
      </c>
      <c r="AC330" t="str">
        <f t="shared" si="52"/>
        <v>Not Applicable</v>
      </c>
      <c r="AE330" s="4" t="str">
        <f t="shared" si="53"/>
        <v>Not Applicable</v>
      </c>
      <c r="AF330" t="s">
        <v>34</v>
      </c>
    </row>
    <row r="331" spans="1:32" x14ac:dyDescent="0.3">
      <c r="A331" t="s">
        <v>342</v>
      </c>
      <c r="B331" s="4">
        <v>45586</v>
      </c>
      <c r="C331" t="s">
        <v>343</v>
      </c>
      <c r="D331" t="s">
        <v>25</v>
      </c>
      <c r="E331" t="s">
        <v>1144</v>
      </c>
      <c r="F331" t="s">
        <v>66</v>
      </c>
      <c r="G331" t="s">
        <v>344</v>
      </c>
      <c r="H331">
        <v>799</v>
      </c>
      <c r="I331" t="str">
        <f t="shared" si="45"/>
        <v>Normal</v>
      </c>
      <c r="J331">
        <v>1</v>
      </c>
      <c r="K331" t="str">
        <f t="shared" si="46"/>
        <v>Normal</v>
      </c>
      <c r="L331">
        <v>799</v>
      </c>
      <c r="M331">
        <f t="shared" si="47"/>
        <v>799</v>
      </c>
      <c r="N331" t="str">
        <f t="shared" si="48"/>
        <v>Match</v>
      </c>
      <c r="O331" t="s">
        <v>1140</v>
      </c>
      <c r="P331">
        <v>0</v>
      </c>
      <c r="Q331" t="str">
        <f t="shared" si="49"/>
        <v>Invalid</v>
      </c>
      <c r="R331" t="s">
        <v>52</v>
      </c>
      <c r="S331" t="s">
        <v>29</v>
      </c>
      <c r="T331" t="s">
        <v>175</v>
      </c>
      <c r="U331" t="s">
        <v>88</v>
      </c>
      <c r="V331" t="s">
        <v>30</v>
      </c>
      <c r="X331" s="4" t="str">
        <f t="shared" si="50"/>
        <v>Not applicable</v>
      </c>
      <c r="Y331" t="s">
        <v>32</v>
      </c>
      <c r="Z331" t="str">
        <f t="shared" si="51"/>
        <v>Valid</v>
      </c>
      <c r="AA331" t="s">
        <v>33</v>
      </c>
      <c r="AB331" t="s">
        <v>1141</v>
      </c>
      <c r="AC331" t="str">
        <f t="shared" si="52"/>
        <v>Not Applicable</v>
      </c>
      <c r="AE331" s="4" t="str">
        <f t="shared" si="53"/>
        <v>Not Applicable</v>
      </c>
      <c r="AF331" t="s">
        <v>34</v>
      </c>
    </row>
    <row r="332" spans="1:32" x14ac:dyDescent="0.3">
      <c r="A332" t="s">
        <v>172</v>
      </c>
      <c r="B332" s="4">
        <v>45572</v>
      </c>
      <c r="C332" t="s">
        <v>173</v>
      </c>
      <c r="D332" t="s">
        <v>25</v>
      </c>
      <c r="E332" t="s">
        <v>1169</v>
      </c>
      <c r="F332" t="s">
        <v>66</v>
      </c>
      <c r="G332" t="s">
        <v>174</v>
      </c>
      <c r="H332">
        <v>1099</v>
      </c>
      <c r="I332" t="str">
        <f t="shared" si="45"/>
        <v>Normal</v>
      </c>
      <c r="J332">
        <v>1</v>
      </c>
      <c r="K332" t="str">
        <f t="shared" si="46"/>
        <v>Normal</v>
      </c>
      <c r="L332">
        <v>1099</v>
      </c>
      <c r="M332">
        <f t="shared" si="47"/>
        <v>1099</v>
      </c>
      <c r="N332" t="str">
        <f t="shared" si="48"/>
        <v>Match</v>
      </c>
      <c r="O332" t="s">
        <v>1140</v>
      </c>
      <c r="P332">
        <v>0</v>
      </c>
      <c r="Q332" t="str">
        <f t="shared" si="49"/>
        <v>Invalid</v>
      </c>
      <c r="R332" t="s">
        <v>28</v>
      </c>
      <c r="S332" t="s">
        <v>61</v>
      </c>
      <c r="T332" t="s">
        <v>175</v>
      </c>
      <c r="U332" t="s">
        <v>88</v>
      </c>
      <c r="V332" t="s">
        <v>30</v>
      </c>
      <c r="W332" s="4">
        <v>45585</v>
      </c>
      <c r="X332" s="4" t="str">
        <f t="shared" si="50"/>
        <v>Invalid</v>
      </c>
      <c r="Y332" t="s">
        <v>32</v>
      </c>
      <c r="Z332" t="str">
        <f t="shared" si="51"/>
        <v>Valid</v>
      </c>
      <c r="AA332" t="s">
        <v>33</v>
      </c>
      <c r="AB332" t="s">
        <v>1141</v>
      </c>
      <c r="AC332" t="str">
        <f t="shared" si="52"/>
        <v>Not Applicable</v>
      </c>
      <c r="AE332" s="4" t="str">
        <f t="shared" si="53"/>
        <v>Not Applicable</v>
      </c>
      <c r="AF332" t="s">
        <v>34</v>
      </c>
    </row>
    <row r="333" spans="1:32" x14ac:dyDescent="0.3">
      <c r="A333" t="s">
        <v>1007</v>
      </c>
      <c r="B333" s="4">
        <v>45646</v>
      </c>
      <c r="C333" t="s">
        <v>1008</v>
      </c>
      <c r="D333" t="s">
        <v>25</v>
      </c>
      <c r="E333" t="s">
        <v>1230</v>
      </c>
      <c r="F333" t="s">
        <v>50</v>
      </c>
      <c r="G333" t="s">
        <v>1009</v>
      </c>
      <c r="H333">
        <v>2199</v>
      </c>
      <c r="I333" t="str">
        <f t="shared" si="45"/>
        <v>Normal</v>
      </c>
      <c r="J333">
        <v>1</v>
      </c>
      <c r="K333" t="str">
        <f t="shared" si="46"/>
        <v>Normal</v>
      </c>
      <c r="L333">
        <v>2199</v>
      </c>
      <c r="M333">
        <f t="shared" si="47"/>
        <v>2199</v>
      </c>
      <c r="N333" t="str">
        <f t="shared" si="48"/>
        <v>Match</v>
      </c>
      <c r="O333" s="1" t="s">
        <v>1140</v>
      </c>
      <c r="P333">
        <v>0</v>
      </c>
      <c r="Q333" t="str">
        <f t="shared" si="49"/>
        <v>Invalid</v>
      </c>
      <c r="R333" t="s">
        <v>28</v>
      </c>
      <c r="S333" t="s">
        <v>42</v>
      </c>
      <c r="T333" t="s">
        <v>175</v>
      </c>
      <c r="U333" t="s">
        <v>88</v>
      </c>
      <c r="V333" t="s">
        <v>30</v>
      </c>
      <c r="W333" s="4">
        <v>45667</v>
      </c>
      <c r="X333" s="4" t="str">
        <f t="shared" si="50"/>
        <v>Invalid</v>
      </c>
      <c r="Y333" t="s">
        <v>32</v>
      </c>
      <c r="Z333" t="str">
        <f t="shared" si="51"/>
        <v>Valid</v>
      </c>
      <c r="AA333" t="s">
        <v>33</v>
      </c>
      <c r="AB333" t="s">
        <v>1141</v>
      </c>
      <c r="AC333" t="str">
        <f t="shared" si="52"/>
        <v>Not Applicable</v>
      </c>
      <c r="AE333" s="4" t="str">
        <f t="shared" si="53"/>
        <v>Not Applicable</v>
      </c>
      <c r="AF333" t="s">
        <v>34</v>
      </c>
    </row>
    <row r="334" spans="1:32" x14ac:dyDescent="0.3">
      <c r="A334" t="s">
        <v>923</v>
      </c>
      <c r="B334" s="4">
        <v>45639</v>
      </c>
      <c r="C334" t="s">
        <v>924</v>
      </c>
      <c r="D334" t="s">
        <v>25</v>
      </c>
      <c r="E334" t="s">
        <v>1198</v>
      </c>
      <c r="F334" t="s">
        <v>66</v>
      </c>
      <c r="G334" t="s">
        <v>925</v>
      </c>
      <c r="H334">
        <v>599</v>
      </c>
      <c r="I334" t="str">
        <f t="shared" si="45"/>
        <v>Normal</v>
      </c>
      <c r="J334">
        <v>2</v>
      </c>
      <c r="K334" t="str">
        <f t="shared" si="46"/>
        <v>Normal</v>
      </c>
      <c r="L334">
        <v>1198</v>
      </c>
      <c r="M334">
        <f t="shared" si="47"/>
        <v>958.40000000000009</v>
      </c>
      <c r="N334" t="str">
        <f t="shared" si="48"/>
        <v>Mismatch</v>
      </c>
      <c r="O334" s="1">
        <v>44166</v>
      </c>
      <c r="P334">
        <v>20</v>
      </c>
      <c r="Q334" t="str">
        <f t="shared" si="49"/>
        <v>Invalid</v>
      </c>
      <c r="R334" t="s">
        <v>100</v>
      </c>
      <c r="S334" t="s">
        <v>29</v>
      </c>
      <c r="T334" t="s">
        <v>175</v>
      </c>
      <c r="U334" t="s">
        <v>88</v>
      </c>
      <c r="V334" t="s">
        <v>30</v>
      </c>
      <c r="W334" s="4">
        <v>45655</v>
      </c>
      <c r="X334" s="4" t="str">
        <f t="shared" si="50"/>
        <v>Invalid</v>
      </c>
      <c r="Y334" t="s">
        <v>32</v>
      </c>
      <c r="Z334" t="str">
        <f t="shared" si="51"/>
        <v>Valid</v>
      </c>
      <c r="AA334" t="s">
        <v>33</v>
      </c>
      <c r="AB334" t="s">
        <v>1141</v>
      </c>
      <c r="AC334" t="str">
        <f t="shared" si="52"/>
        <v>Not Applicable</v>
      </c>
      <c r="AE334" s="4" t="str">
        <f t="shared" si="53"/>
        <v>Not Applicable</v>
      </c>
      <c r="AF334" t="s">
        <v>34</v>
      </c>
    </row>
    <row r="335" spans="1:32" x14ac:dyDescent="0.3">
      <c r="A335" t="s">
        <v>465</v>
      </c>
      <c r="B335" s="4">
        <v>45595</v>
      </c>
      <c r="C335" t="s">
        <v>466</v>
      </c>
      <c r="D335" t="s">
        <v>25</v>
      </c>
      <c r="E335" t="s">
        <v>1179</v>
      </c>
      <c r="F335" t="s">
        <v>66</v>
      </c>
      <c r="G335" t="s">
        <v>467</v>
      </c>
      <c r="H335">
        <v>899</v>
      </c>
      <c r="I335" t="str">
        <f t="shared" si="45"/>
        <v>Normal</v>
      </c>
      <c r="J335">
        <v>1</v>
      </c>
      <c r="K335" t="str">
        <f t="shared" si="46"/>
        <v>Normal</v>
      </c>
      <c r="L335">
        <v>899</v>
      </c>
      <c r="M335">
        <f t="shared" si="47"/>
        <v>539.4</v>
      </c>
      <c r="N335" t="str">
        <f t="shared" si="48"/>
        <v>Mismatch</v>
      </c>
      <c r="O335" t="s">
        <v>425</v>
      </c>
      <c r="P335">
        <v>40</v>
      </c>
      <c r="Q335" t="str">
        <f t="shared" si="49"/>
        <v>Invalid</v>
      </c>
      <c r="R335" t="s">
        <v>28</v>
      </c>
      <c r="S335" t="s">
        <v>29</v>
      </c>
      <c r="T335" t="s">
        <v>468</v>
      </c>
      <c r="U335" t="s">
        <v>102</v>
      </c>
      <c r="V335" t="s">
        <v>43</v>
      </c>
      <c r="W335" s="4">
        <v>45606</v>
      </c>
      <c r="X335" s="4" t="str">
        <f t="shared" si="50"/>
        <v>Invalid</v>
      </c>
      <c r="Y335" t="s">
        <v>32</v>
      </c>
      <c r="Z335" t="str">
        <f t="shared" si="51"/>
        <v>Valid</v>
      </c>
      <c r="AA335" t="s">
        <v>33</v>
      </c>
      <c r="AB335" t="s">
        <v>1141</v>
      </c>
      <c r="AC335" t="str">
        <f t="shared" si="52"/>
        <v>Not Applicable</v>
      </c>
      <c r="AE335" s="4" t="str">
        <f t="shared" si="53"/>
        <v>Not Applicable</v>
      </c>
      <c r="AF335" t="s">
        <v>34</v>
      </c>
    </row>
    <row r="336" spans="1:32" x14ac:dyDescent="0.3">
      <c r="A336" t="s">
        <v>505</v>
      </c>
      <c r="B336" s="4">
        <v>45598</v>
      </c>
      <c r="C336" t="s">
        <v>506</v>
      </c>
      <c r="D336" t="s">
        <v>25</v>
      </c>
      <c r="E336" t="s">
        <v>1218</v>
      </c>
      <c r="F336" t="s">
        <v>50</v>
      </c>
      <c r="G336" t="s">
        <v>507</v>
      </c>
      <c r="H336">
        <v>1799</v>
      </c>
      <c r="I336" t="str">
        <f t="shared" si="45"/>
        <v>Normal</v>
      </c>
      <c r="J336">
        <v>1</v>
      </c>
      <c r="K336" t="str">
        <f t="shared" si="46"/>
        <v>Normal</v>
      </c>
      <c r="L336">
        <v>1799</v>
      </c>
      <c r="M336">
        <f t="shared" si="47"/>
        <v>1079.3999999999999</v>
      </c>
      <c r="N336" t="str">
        <f t="shared" si="48"/>
        <v>Mismatch</v>
      </c>
      <c r="O336" t="s">
        <v>425</v>
      </c>
      <c r="P336">
        <v>40</v>
      </c>
      <c r="Q336" t="str">
        <f t="shared" si="49"/>
        <v>Invalid</v>
      </c>
      <c r="R336" t="s">
        <v>41</v>
      </c>
      <c r="S336" t="s">
        <v>61</v>
      </c>
      <c r="T336" t="s">
        <v>162</v>
      </c>
      <c r="U336" t="s">
        <v>163</v>
      </c>
      <c r="V336" t="s">
        <v>53</v>
      </c>
      <c r="W336" s="4">
        <v>45609</v>
      </c>
      <c r="X336" s="4" t="str">
        <f t="shared" si="50"/>
        <v>Invalid</v>
      </c>
      <c r="Y336" t="s">
        <v>32</v>
      </c>
      <c r="Z336" t="str">
        <f t="shared" si="51"/>
        <v>Valid</v>
      </c>
      <c r="AA336" t="s">
        <v>33</v>
      </c>
      <c r="AB336" t="s">
        <v>1141</v>
      </c>
      <c r="AC336" t="str">
        <f t="shared" si="52"/>
        <v>Not Applicable</v>
      </c>
      <c r="AE336" s="4" t="str">
        <f t="shared" si="53"/>
        <v>Not Applicable</v>
      </c>
      <c r="AF336" t="s">
        <v>34</v>
      </c>
    </row>
    <row r="337" spans="1:32" x14ac:dyDescent="0.3">
      <c r="A337" t="s">
        <v>914</v>
      </c>
      <c r="B337" s="4">
        <v>45638</v>
      </c>
      <c r="C337" t="s">
        <v>915</v>
      </c>
      <c r="D337" t="s">
        <v>25</v>
      </c>
      <c r="E337" t="s">
        <v>1309</v>
      </c>
      <c r="F337" t="s">
        <v>38</v>
      </c>
      <c r="G337" t="s">
        <v>916</v>
      </c>
      <c r="H337">
        <v>4299</v>
      </c>
      <c r="I337" t="str">
        <f t="shared" si="45"/>
        <v>Normal</v>
      </c>
      <c r="J337">
        <v>1</v>
      </c>
      <c r="K337" t="str">
        <f t="shared" si="46"/>
        <v>Normal</v>
      </c>
      <c r="L337">
        <v>4299</v>
      </c>
      <c r="M337">
        <f t="shared" si="47"/>
        <v>3439.2000000000003</v>
      </c>
      <c r="N337" t="str">
        <f t="shared" si="48"/>
        <v>Mismatch</v>
      </c>
      <c r="O337" s="1">
        <v>44166</v>
      </c>
      <c r="P337">
        <v>20</v>
      </c>
      <c r="Q337" t="str">
        <f t="shared" si="49"/>
        <v>Invalid</v>
      </c>
      <c r="R337" t="s">
        <v>41</v>
      </c>
      <c r="S337" t="s">
        <v>29</v>
      </c>
      <c r="T337" t="s">
        <v>162</v>
      </c>
      <c r="U337" t="s">
        <v>163</v>
      </c>
      <c r="V337" t="s">
        <v>53</v>
      </c>
      <c r="W337" s="4">
        <v>45655</v>
      </c>
      <c r="X337" s="4" t="str">
        <f t="shared" si="50"/>
        <v>Invalid</v>
      </c>
      <c r="Y337" t="s">
        <v>32</v>
      </c>
      <c r="Z337" t="str">
        <f t="shared" si="51"/>
        <v>Valid</v>
      </c>
      <c r="AA337" t="s">
        <v>33</v>
      </c>
      <c r="AB337" t="s">
        <v>1141</v>
      </c>
      <c r="AC337" t="str">
        <f t="shared" si="52"/>
        <v>Not Applicable</v>
      </c>
      <c r="AE337" s="4" t="str">
        <f t="shared" si="53"/>
        <v>Not Applicable</v>
      </c>
      <c r="AF337" t="s">
        <v>34</v>
      </c>
    </row>
    <row r="338" spans="1:32" x14ac:dyDescent="0.3">
      <c r="A338" t="s">
        <v>1082</v>
      </c>
      <c r="B338" s="4">
        <v>45652</v>
      </c>
      <c r="C338" t="s">
        <v>1083</v>
      </c>
      <c r="D338" t="s">
        <v>25</v>
      </c>
      <c r="E338" t="s">
        <v>1260</v>
      </c>
      <c r="F338" t="s">
        <v>50</v>
      </c>
      <c r="G338" t="s">
        <v>1084</v>
      </c>
      <c r="H338">
        <v>2199</v>
      </c>
      <c r="I338" t="str">
        <f t="shared" si="45"/>
        <v>Normal</v>
      </c>
      <c r="J338">
        <v>1</v>
      </c>
      <c r="K338" t="str">
        <f t="shared" si="46"/>
        <v>Normal</v>
      </c>
      <c r="L338">
        <v>2199</v>
      </c>
      <c r="M338">
        <f t="shared" si="47"/>
        <v>2199</v>
      </c>
      <c r="N338" t="str">
        <f t="shared" si="48"/>
        <v>Match</v>
      </c>
      <c r="O338" s="1" t="s">
        <v>1140</v>
      </c>
      <c r="P338">
        <v>0</v>
      </c>
      <c r="Q338" t="str">
        <f t="shared" si="49"/>
        <v>Invalid</v>
      </c>
      <c r="R338" t="s">
        <v>28</v>
      </c>
      <c r="S338" t="s">
        <v>61</v>
      </c>
      <c r="T338" t="s">
        <v>162</v>
      </c>
      <c r="U338" t="s">
        <v>163</v>
      </c>
      <c r="V338" t="s">
        <v>53</v>
      </c>
      <c r="W338" s="4">
        <v>45677</v>
      </c>
      <c r="X338" s="4" t="str">
        <f t="shared" si="50"/>
        <v>Invalid</v>
      </c>
      <c r="Y338" t="s">
        <v>32</v>
      </c>
      <c r="Z338" t="str">
        <f t="shared" si="51"/>
        <v>Valid</v>
      </c>
      <c r="AA338" t="s">
        <v>33</v>
      </c>
      <c r="AB338" t="s">
        <v>1141</v>
      </c>
      <c r="AC338" t="str">
        <f t="shared" si="52"/>
        <v>Not Applicable</v>
      </c>
      <c r="AE338" s="4" t="str">
        <f t="shared" si="53"/>
        <v>Not Applicable</v>
      </c>
      <c r="AF338" t="s">
        <v>34</v>
      </c>
    </row>
    <row r="339" spans="1:32" x14ac:dyDescent="0.3">
      <c r="A339" t="s">
        <v>159</v>
      </c>
      <c r="B339" s="4">
        <v>45571</v>
      </c>
      <c r="C339" t="s">
        <v>160</v>
      </c>
      <c r="D339" t="s">
        <v>25</v>
      </c>
      <c r="E339" t="s">
        <v>1450</v>
      </c>
      <c r="F339" t="s">
        <v>26</v>
      </c>
      <c r="G339" t="s">
        <v>161</v>
      </c>
      <c r="H339">
        <v>1799</v>
      </c>
      <c r="I339" t="str">
        <f t="shared" si="45"/>
        <v>Normal</v>
      </c>
      <c r="J339">
        <v>2</v>
      </c>
      <c r="K339" t="str">
        <f t="shared" si="46"/>
        <v>Normal</v>
      </c>
      <c r="L339">
        <v>3598</v>
      </c>
      <c r="M339">
        <f t="shared" si="47"/>
        <v>3598</v>
      </c>
      <c r="N339" t="str">
        <f t="shared" si="48"/>
        <v>Match</v>
      </c>
      <c r="O339" t="s">
        <v>1140</v>
      </c>
      <c r="P339">
        <v>0</v>
      </c>
      <c r="Q339" t="str">
        <f t="shared" si="49"/>
        <v>Invalid</v>
      </c>
      <c r="R339" t="s">
        <v>28</v>
      </c>
      <c r="S339" t="s">
        <v>29</v>
      </c>
      <c r="T339" t="s">
        <v>162</v>
      </c>
      <c r="U339" t="s">
        <v>163</v>
      </c>
      <c r="V339" t="s">
        <v>53</v>
      </c>
      <c r="W339" s="4">
        <v>45582</v>
      </c>
      <c r="X339" s="4" t="str">
        <f t="shared" si="50"/>
        <v>Invalid</v>
      </c>
      <c r="Y339" t="s">
        <v>32</v>
      </c>
      <c r="Z339" t="str">
        <f t="shared" si="51"/>
        <v>Valid</v>
      </c>
      <c r="AA339" t="s">
        <v>33</v>
      </c>
      <c r="AB339" t="s">
        <v>1141</v>
      </c>
      <c r="AC339" t="str">
        <f t="shared" si="52"/>
        <v>Not Applicable</v>
      </c>
      <c r="AE339" s="4" t="str">
        <f t="shared" si="53"/>
        <v>Not Applicable</v>
      </c>
      <c r="AF339" t="s">
        <v>34</v>
      </c>
    </row>
    <row r="340" spans="1:32" x14ac:dyDescent="0.3">
      <c r="A340" t="s">
        <v>998</v>
      </c>
      <c r="B340" s="4">
        <v>45645</v>
      </c>
      <c r="C340" t="s">
        <v>999</v>
      </c>
      <c r="D340" t="s">
        <v>37</v>
      </c>
      <c r="E340" t="s">
        <v>1181</v>
      </c>
      <c r="F340" t="s">
        <v>66</v>
      </c>
      <c r="G340" t="s">
        <v>1000</v>
      </c>
      <c r="H340">
        <v>599</v>
      </c>
      <c r="I340" t="str">
        <f t="shared" si="45"/>
        <v>Normal</v>
      </c>
      <c r="J340">
        <v>3</v>
      </c>
      <c r="K340" t="str">
        <f t="shared" si="46"/>
        <v>Normal</v>
      </c>
      <c r="L340">
        <v>1797</v>
      </c>
      <c r="M340">
        <f t="shared" si="47"/>
        <v>1797</v>
      </c>
      <c r="N340" t="str">
        <f t="shared" si="48"/>
        <v>Match</v>
      </c>
      <c r="O340" s="1" t="s">
        <v>1140</v>
      </c>
      <c r="P340">
        <v>0</v>
      </c>
      <c r="Q340" t="str">
        <f t="shared" si="49"/>
        <v>Invalid</v>
      </c>
      <c r="R340" t="s">
        <v>100</v>
      </c>
      <c r="S340" t="s">
        <v>42</v>
      </c>
      <c r="T340" t="s">
        <v>162</v>
      </c>
      <c r="U340" t="s">
        <v>163</v>
      </c>
      <c r="V340" t="s">
        <v>53</v>
      </c>
      <c r="W340" s="4">
        <v>45665</v>
      </c>
      <c r="X340" s="4" t="str">
        <f t="shared" si="50"/>
        <v>Invalid</v>
      </c>
      <c r="Y340" t="s">
        <v>32</v>
      </c>
      <c r="Z340" t="str">
        <f t="shared" si="51"/>
        <v>Valid</v>
      </c>
      <c r="AA340" t="s">
        <v>33</v>
      </c>
      <c r="AB340" t="s">
        <v>1141</v>
      </c>
      <c r="AC340" t="str">
        <f t="shared" si="52"/>
        <v>Not Applicable</v>
      </c>
      <c r="AE340" s="4" t="str">
        <f t="shared" si="53"/>
        <v>Not Applicable</v>
      </c>
      <c r="AF340" t="s">
        <v>34</v>
      </c>
    </row>
    <row r="341" spans="1:32" x14ac:dyDescent="0.3">
      <c r="A341" t="s">
        <v>1126</v>
      </c>
      <c r="B341" s="4">
        <v>45656</v>
      </c>
      <c r="C341" t="s">
        <v>1127</v>
      </c>
      <c r="D341" t="s">
        <v>25</v>
      </c>
      <c r="E341" t="s">
        <v>1247</v>
      </c>
      <c r="F341" t="s">
        <v>50</v>
      </c>
      <c r="G341" t="s">
        <v>1128</v>
      </c>
      <c r="H341">
        <v>2099</v>
      </c>
      <c r="I341" t="str">
        <f t="shared" si="45"/>
        <v>Normal</v>
      </c>
      <c r="J341">
        <v>1</v>
      </c>
      <c r="K341" t="str">
        <f t="shared" si="46"/>
        <v>Normal</v>
      </c>
      <c r="L341">
        <v>2099</v>
      </c>
      <c r="M341">
        <f t="shared" si="47"/>
        <v>2099</v>
      </c>
      <c r="N341" t="str">
        <f t="shared" si="48"/>
        <v>Match</v>
      </c>
      <c r="O341" s="1" t="s">
        <v>1140</v>
      </c>
      <c r="P341">
        <v>0</v>
      </c>
      <c r="Q341" t="str">
        <f t="shared" si="49"/>
        <v>Invalid</v>
      </c>
      <c r="R341" t="s">
        <v>28</v>
      </c>
      <c r="S341" t="s">
        <v>61</v>
      </c>
      <c r="T341" t="s">
        <v>53</v>
      </c>
      <c r="U341" t="s">
        <v>54</v>
      </c>
      <c r="V341" t="s">
        <v>53</v>
      </c>
      <c r="W341" s="4">
        <v>45683</v>
      </c>
      <c r="X341" s="4" t="str">
        <f t="shared" si="50"/>
        <v>Invalid</v>
      </c>
      <c r="Y341" t="s">
        <v>108</v>
      </c>
      <c r="Z341" t="str">
        <f t="shared" si="51"/>
        <v>Valid</v>
      </c>
      <c r="AA341" t="s">
        <v>33</v>
      </c>
      <c r="AB341" t="s">
        <v>1141</v>
      </c>
      <c r="AC341" t="str">
        <f t="shared" si="52"/>
        <v>Not Applicable</v>
      </c>
      <c r="AE341" s="4" t="str">
        <f t="shared" si="53"/>
        <v>Not Applicable</v>
      </c>
      <c r="AF341" t="s">
        <v>34</v>
      </c>
    </row>
    <row r="342" spans="1:32" x14ac:dyDescent="0.3">
      <c r="A342" t="s">
        <v>1132</v>
      </c>
      <c r="B342" s="4">
        <v>45656</v>
      </c>
      <c r="C342" t="s">
        <v>1133</v>
      </c>
      <c r="D342" t="s">
        <v>37</v>
      </c>
      <c r="E342" t="s">
        <v>1177</v>
      </c>
      <c r="F342" t="s">
        <v>66</v>
      </c>
      <c r="G342" t="s">
        <v>1134</v>
      </c>
      <c r="H342">
        <v>599</v>
      </c>
      <c r="I342" t="str">
        <f t="shared" si="45"/>
        <v>Normal</v>
      </c>
      <c r="J342">
        <v>3</v>
      </c>
      <c r="K342" t="str">
        <f t="shared" si="46"/>
        <v>Normal</v>
      </c>
      <c r="L342">
        <v>1797</v>
      </c>
      <c r="M342">
        <f t="shared" si="47"/>
        <v>1797</v>
      </c>
      <c r="N342" t="str">
        <f t="shared" si="48"/>
        <v>Match</v>
      </c>
      <c r="O342" s="1" t="s">
        <v>1140</v>
      </c>
      <c r="P342">
        <v>0</v>
      </c>
      <c r="Q342" t="str">
        <f t="shared" si="49"/>
        <v>Invalid</v>
      </c>
      <c r="R342" t="s">
        <v>100</v>
      </c>
      <c r="S342" t="s">
        <v>42</v>
      </c>
      <c r="T342" t="s">
        <v>43</v>
      </c>
      <c r="U342" t="s">
        <v>43</v>
      </c>
      <c r="V342" t="s">
        <v>43</v>
      </c>
      <c r="W342" s="4">
        <v>45683</v>
      </c>
      <c r="X342" s="4" t="str">
        <f t="shared" si="50"/>
        <v>Invalid</v>
      </c>
      <c r="Y342" t="s">
        <v>108</v>
      </c>
      <c r="Z342" t="str">
        <f t="shared" si="51"/>
        <v>Valid</v>
      </c>
      <c r="AA342" t="s">
        <v>33</v>
      </c>
      <c r="AB342" t="s">
        <v>1141</v>
      </c>
      <c r="AC342" t="str">
        <f t="shared" si="52"/>
        <v>Not Applicable</v>
      </c>
      <c r="AE342" s="4" t="str">
        <f t="shared" si="53"/>
        <v>Not Applicable</v>
      </c>
      <c r="AF342" t="s">
        <v>34</v>
      </c>
    </row>
    <row r="343" spans="1:32" x14ac:dyDescent="0.3">
      <c r="A343" t="s">
        <v>1103</v>
      </c>
      <c r="B343" s="4">
        <v>45654</v>
      </c>
      <c r="C343" t="s">
        <v>1104</v>
      </c>
      <c r="D343" t="s">
        <v>37</v>
      </c>
      <c r="E343" t="s">
        <v>1185</v>
      </c>
      <c r="F343" t="s">
        <v>66</v>
      </c>
      <c r="G343" t="s">
        <v>1105</v>
      </c>
      <c r="H343">
        <v>799</v>
      </c>
      <c r="I343" t="str">
        <f t="shared" si="45"/>
        <v>Normal</v>
      </c>
      <c r="J343">
        <v>1</v>
      </c>
      <c r="K343" t="str">
        <f t="shared" si="46"/>
        <v>Normal</v>
      </c>
      <c r="L343">
        <v>799</v>
      </c>
      <c r="M343">
        <f t="shared" si="47"/>
        <v>639.20000000000005</v>
      </c>
      <c r="N343" t="str">
        <f t="shared" si="48"/>
        <v>Mismatch</v>
      </c>
      <c r="O343" s="1">
        <v>44166</v>
      </c>
      <c r="P343">
        <v>20</v>
      </c>
      <c r="Q343" t="str">
        <f t="shared" si="49"/>
        <v>Invalid</v>
      </c>
      <c r="R343" t="s">
        <v>100</v>
      </c>
      <c r="S343" t="s">
        <v>29</v>
      </c>
      <c r="T343" t="s">
        <v>43</v>
      </c>
      <c r="U343" t="s">
        <v>43</v>
      </c>
      <c r="V343" t="s">
        <v>43</v>
      </c>
      <c r="W343" s="4">
        <v>45679</v>
      </c>
      <c r="X343" s="4" t="str">
        <f t="shared" si="50"/>
        <v>Invalid</v>
      </c>
      <c r="Y343" t="s">
        <v>108</v>
      </c>
      <c r="Z343" t="str">
        <f t="shared" si="51"/>
        <v>Valid</v>
      </c>
      <c r="AA343" t="s">
        <v>33</v>
      </c>
      <c r="AB343" t="s">
        <v>1141</v>
      </c>
      <c r="AC343" t="str">
        <f t="shared" si="52"/>
        <v>Not Applicable</v>
      </c>
      <c r="AE343" s="4" t="str">
        <f t="shared" si="53"/>
        <v>Not Applicable</v>
      </c>
      <c r="AF343" t="s">
        <v>34</v>
      </c>
    </row>
    <row r="344" spans="1:32" x14ac:dyDescent="0.3">
      <c r="A344" t="s">
        <v>1112</v>
      </c>
      <c r="B344" s="4">
        <v>45654</v>
      </c>
      <c r="C344" t="s">
        <v>1113</v>
      </c>
      <c r="D344" t="s">
        <v>25</v>
      </c>
      <c r="E344" t="s">
        <v>1256</v>
      </c>
      <c r="F344" t="s">
        <v>50</v>
      </c>
      <c r="G344" t="s">
        <v>1114</v>
      </c>
      <c r="H344">
        <v>2299</v>
      </c>
      <c r="I344" t="str">
        <f t="shared" si="45"/>
        <v>Normal</v>
      </c>
      <c r="J344">
        <v>1</v>
      </c>
      <c r="K344" t="str">
        <f t="shared" si="46"/>
        <v>Normal</v>
      </c>
      <c r="L344">
        <v>2299</v>
      </c>
      <c r="M344">
        <f t="shared" si="47"/>
        <v>1839.2</v>
      </c>
      <c r="N344" t="str">
        <f t="shared" si="48"/>
        <v>Mismatch</v>
      </c>
      <c r="O344" s="1">
        <v>44166</v>
      </c>
      <c r="P344">
        <v>20</v>
      </c>
      <c r="Q344" t="str">
        <f t="shared" si="49"/>
        <v>Invalid</v>
      </c>
      <c r="R344" t="s">
        <v>28</v>
      </c>
      <c r="S344" t="s">
        <v>29</v>
      </c>
      <c r="T344" t="s">
        <v>71</v>
      </c>
      <c r="U344" t="s">
        <v>72</v>
      </c>
      <c r="V344" t="s">
        <v>53</v>
      </c>
      <c r="W344" s="4">
        <v>45681</v>
      </c>
      <c r="X344" s="4" t="str">
        <f t="shared" si="50"/>
        <v>Invalid</v>
      </c>
      <c r="Y344" t="s">
        <v>108</v>
      </c>
      <c r="Z344" t="str">
        <f t="shared" si="51"/>
        <v>Valid</v>
      </c>
      <c r="AA344" t="s">
        <v>33</v>
      </c>
      <c r="AB344" t="s">
        <v>1141</v>
      </c>
      <c r="AC344" t="str">
        <f t="shared" si="52"/>
        <v>Not Applicable</v>
      </c>
      <c r="AE344" s="4" t="str">
        <f t="shared" si="53"/>
        <v>Not Applicable</v>
      </c>
      <c r="AF344" t="s">
        <v>34</v>
      </c>
    </row>
    <row r="345" spans="1:32" x14ac:dyDescent="0.3">
      <c r="A345" t="s">
        <v>1121</v>
      </c>
      <c r="B345" s="4">
        <v>45655</v>
      </c>
      <c r="C345" t="s">
        <v>1122</v>
      </c>
      <c r="D345" t="s">
        <v>25</v>
      </c>
      <c r="E345" t="s">
        <v>1474</v>
      </c>
      <c r="F345" t="s">
        <v>26</v>
      </c>
      <c r="G345" t="s">
        <v>1123</v>
      </c>
      <c r="H345">
        <v>1999</v>
      </c>
      <c r="I345" t="str">
        <f t="shared" si="45"/>
        <v>Normal</v>
      </c>
      <c r="J345">
        <v>1</v>
      </c>
      <c r="K345" t="str">
        <f t="shared" si="46"/>
        <v>Normal</v>
      </c>
      <c r="L345">
        <v>1999</v>
      </c>
      <c r="M345">
        <f t="shared" si="47"/>
        <v>1599.2</v>
      </c>
      <c r="N345" t="str">
        <f t="shared" si="48"/>
        <v>Mismatch</v>
      </c>
      <c r="O345" s="1">
        <v>44166</v>
      </c>
      <c r="P345">
        <v>20</v>
      </c>
      <c r="Q345" t="str">
        <f t="shared" si="49"/>
        <v>Invalid</v>
      </c>
      <c r="R345" t="s">
        <v>60</v>
      </c>
      <c r="S345" t="s">
        <v>29</v>
      </c>
      <c r="T345" t="s">
        <v>92</v>
      </c>
      <c r="U345" t="s">
        <v>93</v>
      </c>
      <c r="V345" t="s">
        <v>43</v>
      </c>
      <c r="W345" s="4">
        <v>45682</v>
      </c>
      <c r="X345" s="4" t="str">
        <f t="shared" si="50"/>
        <v>Invalid</v>
      </c>
      <c r="Y345" t="s">
        <v>108</v>
      </c>
      <c r="Z345" t="str">
        <f t="shared" si="51"/>
        <v>Valid</v>
      </c>
      <c r="AA345" t="s">
        <v>33</v>
      </c>
      <c r="AB345" t="s">
        <v>1141</v>
      </c>
      <c r="AC345" t="str">
        <f t="shared" si="52"/>
        <v>Not Applicable</v>
      </c>
      <c r="AE345" s="4" t="str">
        <f t="shared" si="53"/>
        <v>Not Applicable</v>
      </c>
      <c r="AF345" t="s">
        <v>34</v>
      </c>
    </row>
    <row r="346" spans="1:32" x14ac:dyDescent="0.3">
      <c r="A346" t="s">
        <v>1097</v>
      </c>
      <c r="B346" s="4">
        <v>45653</v>
      </c>
      <c r="C346" t="s">
        <v>1098</v>
      </c>
      <c r="D346" t="s">
        <v>25</v>
      </c>
      <c r="E346" t="s">
        <v>1226</v>
      </c>
      <c r="F346" t="s">
        <v>50</v>
      </c>
      <c r="G346" t="s">
        <v>1099</v>
      </c>
      <c r="H346">
        <v>1799</v>
      </c>
      <c r="I346" t="str">
        <f t="shared" si="45"/>
        <v>Normal</v>
      </c>
      <c r="J346">
        <v>1</v>
      </c>
      <c r="K346" t="str">
        <f t="shared" si="46"/>
        <v>Normal</v>
      </c>
      <c r="L346">
        <v>1799</v>
      </c>
      <c r="M346">
        <f t="shared" si="47"/>
        <v>1799</v>
      </c>
      <c r="N346" t="str">
        <f t="shared" si="48"/>
        <v>Match</v>
      </c>
      <c r="O346" s="1" t="s">
        <v>1140</v>
      </c>
      <c r="P346">
        <v>0</v>
      </c>
      <c r="Q346" t="str">
        <f t="shared" si="49"/>
        <v>Invalid</v>
      </c>
      <c r="R346" t="s">
        <v>28</v>
      </c>
      <c r="S346" t="s">
        <v>42</v>
      </c>
      <c r="T346" t="s">
        <v>183</v>
      </c>
      <c r="U346" t="s">
        <v>102</v>
      </c>
      <c r="V346" t="s">
        <v>43</v>
      </c>
      <c r="W346" s="4">
        <v>45679</v>
      </c>
      <c r="X346" s="4" t="str">
        <f t="shared" si="50"/>
        <v>Invalid</v>
      </c>
      <c r="Y346" t="s">
        <v>108</v>
      </c>
      <c r="Z346" t="str">
        <f t="shared" si="51"/>
        <v>Valid</v>
      </c>
      <c r="AA346" t="s">
        <v>33</v>
      </c>
      <c r="AB346" t="s">
        <v>1141</v>
      </c>
      <c r="AC346" t="str">
        <f t="shared" si="52"/>
        <v>Not Applicable</v>
      </c>
      <c r="AE346" s="4" t="str">
        <f t="shared" si="53"/>
        <v>Not Applicable</v>
      </c>
      <c r="AF346" t="s">
        <v>34</v>
      </c>
    </row>
    <row r="347" spans="1:32" x14ac:dyDescent="0.3">
      <c r="A347" t="s">
        <v>1091</v>
      </c>
      <c r="B347" s="4">
        <v>45653</v>
      </c>
      <c r="C347" t="s">
        <v>1092</v>
      </c>
      <c r="D347" t="s">
        <v>25</v>
      </c>
      <c r="E347" t="s">
        <v>1419</v>
      </c>
      <c r="F347" t="s">
        <v>26</v>
      </c>
      <c r="G347" t="s">
        <v>1093</v>
      </c>
      <c r="H347">
        <v>999</v>
      </c>
      <c r="I347" t="str">
        <f t="shared" si="45"/>
        <v>Normal</v>
      </c>
      <c r="J347">
        <v>2</v>
      </c>
      <c r="K347" t="str">
        <f t="shared" si="46"/>
        <v>Normal</v>
      </c>
      <c r="L347">
        <v>1998</v>
      </c>
      <c r="M347">
        <f t="shared" si="47"/>
        <v>1998</v>
      </c>
      <c r="N347" t="str">
        <f t="shared" si="48"/>
        <v>Match</v>
      </c>
      <c r="O347" s="1" t="s">
        <v>1140</v>
      </c>
      <c r="P347">
        <v>0</v>
      </c>
      <c r="Q347" t="str">
        <f t="shared" si="49"/>
        <v>Invalid</v>
      </c>
      <c r="R347" t="s">
        <v>60</v>
      </c>
      <c r="S347" t="s">
        <v>61</v>
      </c>
      <c r="T347" t="s">
        <v>175</v>
      </c>
      <c r="U347" t="s">
        <v>88</v>
      </c>
      <c r="V347" t="s">
        <v>30</v>
      </c>
      <c r="W347" s="4">
        <v>45678</v>
      </c>
      <c r="X347" s="4" t="str">
        <f t="shared" si="50"/>
        <v>Invalid</v>
      </c>
      <c r="Y347" t="s">
        <v>108</v>
      </c>
      <c r="Z347" t="str">
        <f t="shared" si="51"/>
        <v>Valid</v>
      </c>
      <c r="AA347" t="s">
        <v>33</v>
      </c>
      <c r="AB347" t="s">
        <v>1141</v>
      </c>
      <c r="AC347" t="str">
        <f t="shared" si="52"/>
        <v>Not Applicable</v>
      </c>
      <c r="AE347" s="4" t="str">
        <f t="shared" si="53"/>
        <v>Not Applicable</v>
      </c>
      <c r="AF347" t="s">
        <v>34</v>
      </c>
    </row>
  </sheetData>
  <autoFilter ref="A1:AF347" xr:uid="{9BA317CA-3886-4CFE-8E8C-CDA75F307399}">
    <sortState xmlns:xlrd2="http://schemas.microsoft.com/office/spreadsheetml/2017/richdata2" ref="A2:AF347">
      <sortCondition ref="AD1:AD347"/>
    </sortState>
  </autoFilter>
  <sortState xmlns:xlrd2="http://schemas.microsoft.com/office/spreadsheetml/2017/richdata2" ref="Y2:Y347">
    <sortCondition ref="Y2:Y347"/>
  </sortState>
  <conditionalFormatting sqref="A1:A1048576">
    <cfRule type="duplicateValues" dxfId="2" priority="1"/>
    <cfRule type="duplicateValues" dxfId="1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5A76-F491-48B6-BD3E-B376D33537C9}">
  <dimension ref="A1:E16"/>
  <sheetViews>
    <sheetView tabSelected="1" topLeftCell="B1" workbookViewId="0">
      <selection sqref="A1:E15"/>
    </sheetView>
  </sheetViews>
  <sheetFormatPr defaultRowHeight="14.4" x14ac:dyDescent="0.3"/>
  <cols>
    <col min="1" max="1" width="12.33203125" customWidth="1"/>
    <col min="2" max="2" width="55.109375" customWidth="1"/>
    <col min="3" max="3" width="23.44140625" customWidth="1"/>
    <col min="4" max="4" width="35.6640625" customWidth="1"/>
    <col min="5" max="5" width="17" customWidth="1"/>
  </cols>
  <sheetData>
    <row r="1" spans="1:5" s="2" customFormat="1" ht="47.4" customHeight="1" x14ac:dyDescent="0.3">
      <c r="A1" s="6" t="s">
        <v>1487</v>
      </c>
      <c r="B1" s="6" t="s">
        <v>1488</v>
      </c>
      <c r="C1" s="6" t="s">
        <v>1489</v>
      </c>
      <c r="D1" s="6" t="s">
        <v>1490</v>
      </c>
      <c r="E1" s="6" t="s">
        <v>1532</v>
      </c>
    </row>
    <row r="2" spans="1:5" x14ac:dyDescent="0.3">
      <c r="A2" t="s">
        <v>1491</v>
      </c>
      <c r="B2" t="s">
        <v>1504</v>
      </c>
      <c r="C2" t="s">
        <v>1505</v>
      </c>
      <c r="D2" t="str">
        <f>IF(AND(LEFT(urbanthreads_q4!A2,3)="UT",LEN(urbanthreads_q4!A2)=9,ISNUMBER(--MID(urbanthreads_q4!A2,4,6))),"Valid","Invalid")</f>
        <v>Invalid</v>
      </c>
      <c r="E2" t="s">
        <v>1533</v>
      </c>
    </row>
    <row r="3" spans="1:5" ht="16.8" x14ac:dyDescent="0.4">
      <c r="A3" t="s">
        <v>1492</v>
      </c>
      <c r="B3" s="5" t="s">
        <v>1506</v>
      </c>
      <c r="C3" s="7" t="s">
        <v>1507</v>
      </c>
      <c r="D3" t="str">
        <f>IF(OR(urbanthreads_q4!B2="New",urbanthreads_q4!B2="Returning"),"Valid","Invalid")</f>
        <v>Invalid</v>
      </c>
      <c r="E3" t="s">
        <v>1534</v>
      </c>
    </row>
    <row r="4" spans="1:5" ht="43.2" x14ac:dyDescent="0.3">
      <c r="A4" t="s">
        <v>1493</v>
      </c>
      <c r="B4" s="5" t="s">
        <v>1508</v>
      </c>
      <c r="C4" t="s">
        <v>1521</v>
      </c>
      <c r="D4" t="str">
        <f>IF(ISNUMBER(urbanthreads_q4!C2),IF(AND(urbanthreads_q4!C2&gt;0,MOD(urbanthreads_q4!C2,1)=0),"Valid","Invalid"),"Invalid")</f>
        <v>Invalid</v>
      </c>
      <c r="E4" s="5" t="s">
        <v>1535</v>
      </c>
    </row>
    <row r="5" spans="1:5" ht="36" customHeight="1" x14ac:dyDescent="0.3">
      <c r="A5" t="s">
        <v>1494</v>
      </c>
      <c r="B5" s="5" t="s">
        <v>1509</v>
      </c>
      <c r="C5" t="s">
        <v>1522</v>
      </c>
      <c r="D5" t="str">
        <f>IF(AND(urbanthreads_q4!D2&gt;=0,urbanthreads_q4!D2&lt;=100),"Valid","Invalid")</f>
        <v>Invalid</v>
      </c>
      <c r="E5" s="5" t="s">
        <v>1536</v>
      </c>
    </row>
    <row r="6" spans="1:5" ht="28.8" x14ac:dyDescent="0.3">
      <c r="A6" t="s">
        <v>1495</v>
      </c>
      <c r="B6" t="s">
        <v>1510</v>
      </c>
      <c r="C6" t="s">
        <v>1523</v>
      </c>
      <c r="D6" t="str">
        <f>IF(AND(urbanthreads_q4!E2&gt;=DATE(2024,10,1),urbanthreads_q4!E2&lt;=DATE(2024,12,31)),"Valid","Invalid")</f>
        <v>Invalid</v>
      </c>
      <c r="E6" s="5" t="s">
        <v>1537</v>
      </c>
    </row>
    <row r="7" spans="1:5" ht="57.6" x14ac:dyDescent="0.3">
      <c r="A7" t="s">
        <v>1496</v>
      </c>
      <c r="B7" t="s">
        <v>1511</v>
      </c>
      <c r="C7" t="s">
        <v>1524</v>
      </c>
      <c r="D7" t="str">
        <f>IF(OR(urbanthreads_q4!F2="Credit Card",urbanthreads_q4!F2="Debit Card",urbanthreads_q4!F2="Net Banking",urbanthreads_q4!F2="UPI",urbanthreads_q4!F2="COD"),"Valid","Invalid")</f>
        <v>Invalid</v>
      </c>
      <c r="E7" s="5" t="s">
        <v>1538</v>
      </c>
    </row>
    <row r="8" spans="1:5" ht="54.6" customHeight="1" x14ac:dyDescent="0.3">
      <c r="A8" t="s">
        <v>1497</v>
      </c>
      <c r="B8" s="5" t="s">
        <v>1512</v>
      </c>
      <c r="C8" s="5" t="s">
        <v>1525</v>
      </c>
      <c r="D8" t="str">
        <f>IF(urbanthreads_q4!G2="Delivered",IF(urbanthreads_q4!H2&lt;&gt;"","Valid","Invalid"),"Not Applicable")</f>
        <v>Not Applicable</v>
      </c>
      <c r="E8" s="5" t="s">
        <v>1539</v>
      </c>
    </row>
    <row r="9" spans="1:5" x14ac:dyDescent="0.3">
      <c r="A9" t="s">
        <v>1498</v>
      </c>
      <c r="B9" s="5" t="s">
        <v>1513</v>
      </c>
      <c r="C9" t="s">
        <v>1526</v>
      </c>
      <c r="D9" t="str">
        <f>IF(urbanthreads_q4!I2="No",IF(urbanthreads_q4!J2="","Valid","Invalid"),"Not Applicable")</f>
        <v>Not Applicable</v>
      </c>
      <c r="E9" t="s">
        <v>1540</v>
      </c>
    </row>
    <row r="10" spans="1:5" x14ac:dyDescent="0.3">
      <c r="A10" t="s">
        <v>1499</v>
      </c>
      <c r="B10" t="s">
        <v>1514</v>
      </c>
      <c r="C10" t="s">
        <v>1527</v>
      </c>
      <c r="D10" t="str">
        <f>IF(urbanthreads_q4!I2="No",IF(urbanthreads_q4!J2="","Valid","Invalid"),"Not Applicable")</f>
        <v>Not Applicable</v>
      </c>
      <c r="E10" t="s">
        <v>1541</v>
      </c>
    </row>
    <row r="11" spans="1:5" ht="57.6" x14ac:dyDescent="0.3">
      <c r="A11" t="s">
        <v>1500</v>
      </c>
      <c r="B11" t="s">
        <v>1515</v>
      </c>
      <c r="C11" t="s">
        <v>1528</v>
      </c>
      <c r="D11" t="str">
        <f>IF(urbanthreads_q4!I2="No",IF(urbanthreads_q4!L2="Not Applicable","Valid","Invalid"),"Not Applicable")</f>
        <v>Not Applicable</v>
      </c>
      <c r="E11" s="5" t="s">
        <v>1542</v>
      </c>
    </row>
    <row r="12" spans="1:5" ht="57.6" x14ac:dyDescent="0.3">
      <c r="A12" t="s">
        <v>1501</v>
      </c>
      <c r="B12" t="s">
        <v>1516</v>
      </c>
      <c r="C12" t="s">
        <v>1525</v>
      </c>
      <c r="D12" t="str">
        <f>IF(urbanthreads_q4!G2="RTO",IF(urbanthreads_q4!I2="No","Valid","Invalid"),"Not Applicable")</f>
        <v>Not Applicable</v>
      </c>
      <c r="E12" s="5" t="s">
        <v>1546</v>
      </c>
    </row>
    <row r="13" spans="1:5" x14ac:dyDescent="0.3">
      <c r="A13" t="s">
        <v>1517</v>
      </c>
      <c r="B13" t="s">
        <v>1518</v>
      </c>
      <c r="C13" t="s">
        <v>1529</v>
      </c>
      <c r="D13" t="str">
        <f>IF(AND(urbanthreads_q4!B2="New",COUNTIFS(urbanthreads_q4!B:B,"New",urbanthreads_q4!N:N,urbanthreads_q4!N2)&gt;1),"Invalid","Valid")</f>
        <v>Valid</v>
      </c>
      <c r="E13" t="s">
        <v>1545</v>
      </c>
    </row>
    <row r="14" spans="1:5" ht="50.4" customHeight="1" x14ac:dyDescent="0.3">
      <c r="A14" t="s">
        <v>1502</v>
      </c>
      <c r="B14" s="5" t="s">
        <v>1519</v>
      </c>
      <c r="C14" t="s">
        <v>1530</v>
      </c>
      <c r="D14" t="str">
        <f>IF(AND(ISNUMBER(urbanthreads_q4!E2),ISNUMBER(urbanthreads_q4!H2)),
    IF(OR(urbanthreads_q4!H2-urbanthreads_q4!E2&lt;0,urbanthreads_q4!H2-urbanthreads_q4!E2&gt;30),
       "Invalid",
       "Valid"),
    "Not Applicable")</f>
        <v>Not Applicable</v>
      </c>
      <c r="E14" t="s">
        <v>1544</v>
      </c>
    </row>
    <row r="15" spans="1:5" ht="57.6" x14ac:dyDescent="0.3">
      <c r="A15" t="s">
        <v>1503</v>
      </c>
      <c r="B15" s="5" t="s">
        <v>1520</v>
      </c>
      <c r="C15" t="s">
        <v>1531</v>
      </c>
      <c r="D15" t="str">
        <f>IF(AND(urbanthreads_q4!P2&lt;&gt;"",urbanthreads_q4!H2&lt;&gt;"",urbanthreads_q4!P2-urbanthreads_q4!H2&gt;30),"Invalid","Valid")</f>
        <v>Valid</v>
      </c>
      <c r="E15" s="5" t="s">
        <v>1543</v>
      </c>
    </row>
    <row r="16" spans="1:5" x14ac:dyDescent="0.3">
      <c r="E16" s="5"/>
    </row>
  </sheetData>
  <phoneticPr fontId="18" type="noConversion"/>
  <conditionalFormatting sqref="D1:D1048576">
    <cfRule type="cellIs" dxfId="0" priority="1" operator="equal">
      <formula>"Invalid"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urbanthreads_q4</vt:lpstr>
      <vt:lpstr>Validation_Summary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Kolimi Shaik</dc:creator>
  <cp:lastModifiedBy>yasmin shaik</cp:lastModifiedBy>
  <dcterms:created xsi:type="dcterms:W3CDTF">2026-02-04T06:15:44Z</dcterms:created>
  <dcterms:modified xsi:type="dcterms:W3CDTF">2026-02-04T17:08:06Z</dcterms:modified>
</cp:coreProperties>
</file>